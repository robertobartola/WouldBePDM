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rbartola\Documents\SharpDevelop Projects\WouldBe_PDM_sharpdev\WouldBe_PDM_sharpdev\bin\Debug\"/>
    </mc:Choice>
  </mc:AlternateContent>
  <bookViews>
    <workbookView xWindow="13200" yWindow="0" windowWidth="18240" windowHeight="11610" tabRatio="830" activeTab="7"/>
  </bookViews>
  <sheets>
    <sheet name="toexportPRJ_NEW" sheetId="13" r:id="rId1"/>
    <sheet name="toexportPARTS" sheetId="4" r:id="rId2"/>
    <sheet name="Foglio3" sheetId="5" r:id="rId3"/>
    <sheet name="Foglio1" sheetId="6" r:id="rId4"/>
    <sheet name="Family" sheetId="9" r:id="rId5"/>
    <sheet name="Project" sheetId="10" r:id="rId6"/>
    <sheet name="Product" sheetId="11" r:id="rId7"/>
    <sheet name="Part" sheetId="12" r:id="rId8"/>
    <sheet name="Component_match" sheetId="14" r:id="rId9"/>
  </sheets>
  <externalReferences>
    <externalReference r:id="rId10"/>
  </externalReferences>
  <definedNames>
    <definedName name="_xlnm._FilterDatabase" localSheetId="1" hidden="1">toexportPARTS!$A$1:$J$89</definedName>
    <definedName name="_xlnm._FilterDatabase" localSheetId="0" hidden="1">toexportPRJ_NEW!$A$1:$G$197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6" i="12" l="1"/>
  <c r="T85" i="12"/>
  <c r="T84" i="12"/>
  <c r="T83" i="12"/>
  <c r="T82" i="12"/>
  <c r="T81" i="12"/>
  <c r="T80" i="12"/>
  <c r="T79" i="12"/>
  <c r="T78" i="12"/>
  <c r="T77" i="12"/>
  <c r="T76" i="12"/>
  <c r="T75" i="12"/>
  <c r="T74" i="12"/>
  <c r="T73" i="12"/>
  <c r="T72" i="12"/>
  <c r="T71" i="12"/>
  <c r="T70" i="12"/>
  <c r="T69" i="12"/>
  <c r="T68" i="12"/>
  <c r="T67" i="12"/>
  <c r="T66" i="12"/>
  <c r="T65" i="12"/>
  <c r="T64" i="12"/>
  <c r="T63" i="12"/>
  <c r="T62" i="12"/>
  <c r="T61" i="12"/>
  <c r="T60" i="12"/>
  <c r="T59" i="12"/>
  <c r="T58" i="12"/>
  <c r="T57" i="12"/>
  <c r="T56" i="12"/>
  <c r="T55" i="12"/>
  <c r="T54" i="12"/>
  <c r="T53" i="12"/>
  <c r="T52" i="12"/>
  <c r="T51" i="12"/>
  <c r="T50" i="12"/>
  <c r="T49" i="12"/>
  <c r="T48" i="12"/>
  <c r="T47" i="12"/>
  <c r="T46" i="12"/>
  <c r="T45" i="12"/>
  <c r="T44" i="12"/>
  <c r="T43" i="12"/>
  <c r="T42" i="12"/>
  <c r="T41" i="12"/>
  <c r="T40" i="12"/>
  <c r="T39" i="12"/>
  <c r="T38" i="12"/>
  <c r="T37" i="12"/>
  <c r="T36" i="12"/>
  <c r="T35" i="12"/>
  <c r="T34" i="12"/>
  <c r="T33" i="12"/>
  <c r="T32" i="12"/>
  <c r="T31" i="12"/>
  <c r="T30" i="12"/>
  <c r="T29" i="12"/>
  <c r="T28" i="12"/>
  <c r="T27" i="12"/>
  <c r="T26" i="12"/>
  <c r="T25" i="12"/>
  <c r="T24" i="12"/>
  <c r="T23" i="12"/>
  <c r="T22" i="12"/>
  <c r="T21" i="12"/>
  <c r="T20" i="12"/>
  <c r="T19" i="12"/>
  <c r="T18" i="12"/>
  <c r="T17" i="12"/>
  <c r="T16" i="12"/>
  <c r="T15" i="12"/>
  <c r="T14" i="12"/>
  <c r="T13" i="12"/>
  <c r="T12" i="12"/>
  <c r="T11" i="12"/>
  <c r="T10" i="12"/>
  <c r="T9" i="12"/>
  <c r="T8" i="12"/>
  <c r="T7" i="12"/>
  <c r="T6" i="12"/>
  <c r="T5" i="12"/>
  <c r="T4" i="12"/>
  <c r="T3" i="12"/>
  <c r="T2" i="12"/>
  <c r="Q86" i="12" l="1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E197" i="13" l="1"/>
  <c r="F197" i="13" s="1"/>
  <c r="E196" i="13"/>
  <c r="F196" i="13" s="1"/>
  <c r="E195" i="13"/>
  <c r="F195" i="13" s="1"/>
  <c r="E194" i="13"/>
  <c r="F194" i="13" s="1"/>
  <c r="E193" i="13"/>
  <c r="F193" i="13" s="1"/>
  <c r="E192" i="13"/>
  <c r="F192" i="13" s="1"/>
  <c r="E191" i="13"/>
  <c r="F191" i="13" s="1"/>
  <c r="E190" i="13"/>
  <c r="F190" i="13" s="1"/>
  <c r="E189" i="13"/>
  <c r="F189" i="13" s="1"/>
  <c r="E188" i="13"/>
  <c r="F188" i="13" s="1"/>
  <c r="E187" i="13"/>
  <c r="F187" i="13" s="1"/>
  <c r="E186" i="13"/>
  <c r="F186" i="13" s="1"/>
  <c r="E185" i="13"/>
  <c r="F185" i="13" s="1"/>
  <c r="E184" i="13"/>
  <c r="F184" i="13" s="1"/>
  <c r="E183" i="13"/>
  <c r="F183" i="13" s="1"/>
  <c r="E182" i="13"/>
  <c r="F182" i="13" s="1"/>
  <c r="E181" i="13"/>
  <c r="F181" i="13" s="1"/>
  <c r="E180" i="13"/>
  <c r="F180" i="13" s="1"/>
  <c r="E179" i="13"/>
  <c r="F179" i="13" s="1"/>
  <c r="E178" i="13"/>
  <c r="F178" i="13" s="1"/>
  <c r="E177" i="13"/>
  <c r="F177" i="13" s="1"/>
  <c r="E176" i="13"/>
  <c r="F176" i="13" s="1"/>
  <c r="E175" i="13"/>
  <c r="F175" i="13" s="1"/>
  <c r="E174" i="13"/>
  <c r="F174" i="13" s="1"/>
  <c r="E173" i="13"/>
  <c r="F173" i="13" s="1"/>
  <c r="E172" i="13"/>
  <c r="F172" i="13" s="1"/>
  <c r="E171" i="13"/>
  <c r="F171" i="13" s="1"/>
  <c r="E170" i="13"/>
  <c r="F170" i="13" s="1"/>
  <c r="E169" i="13"/>
  <c r="F169" i="13" s="1"/>
  <c r="E168" i="13"/>
  <c r="F168" i="13" s="1"/>
  <c r="E167" i="13"/>
  <c r="F167" i="13" s="1"/>
  <c r="E166" i="13"/>
  <c r="F166" i="13" s="1"/>
  <c r="E165" i="13"/>
  <c r="F165" i="13" s="1"/>
  <c r="E164" i="13"/>
  <c r="F164" i="13" s="1"/>
  <c r="E163" i="13"/>
  <c r="F163" i="13" s="1"/>
  <c r="E162" i="13"/>
  <c r="F162" i="13" s="1"/>
  <c r="E161" i="13"/>
  <c r="F161" i="13" s="1"/>
  <c r="E160" i="13"/>
  <c r="F160" i="13" s="1"/>
  <c r="E159" i="13"/>
  <c r="F159" i="13" s="1"/>
  <c r="E158" i="13"/>
  <c r="F158" i="13" s="1"/>
  <c r="E157" i="13"/>
  <c r="F157" i="13" s="1"/>
  <c r="E156" i="13"/>
  <c r="F156" i="13" s="1"/>
  <c r="E155" i="13"/>
  <c r="F155" i="13" s="1"/>
  <c r="E154" i="13"/>
  <c r="F154" i="13" s="1"/>
  <c r="E153" i="13"/>
  <c r="F153" i="13" s="1"/>
  <c r="E152" i="13"/>
  <c r="F152" i="13" s="1"/>
  <c r="E151" i="13"/>
  <c r="F151" i="13" s="1"/>
  <c r="E150" i="13"/>
  <c r="F150" i="13" s="1"/>
  <c r="E149" i="13"/>
  <c r="F149" i="13" s="1"/>
  <c r="E148" i="13"/>
  <c r="F148" i="13" s="1"/>
  <c r="E147" i="13"/>
  <c r="F147" i="13" s="1"/>
  <c r="E146" i="13"/>
  <c r="F146" i="13" s="1"/>
  <c r="E145" i="13"/>
  <c r="F145" i="13" s="1"/>
  <c r="E144" i="13"/>
  <c r="F144" i="13" s="1"/>
  <c r="E143" i="13"/>
  <c r="F143" i="13" s="1"/>
  <c r="E142" i="13"/>
  <c r="F142" i="13" s="1"/>
  <c r="E141" i="13"/>
  <c r="F141" i="13" s="1"/>
  <c r="E140" i="13"/>
  <c r="F140" i="13" s="1"/>
  <c r="E139" i="13"/>
  <c r="F139" i="13" s="1"/>
  <c r="E138" i="13"/>
  <c r="F138" i="13" s="1"/>
  <c r="E137" i="13"/>
  <c r="F137" i="13" s="1"/>
  <c r="E136" i="13"/>
  <c r="F136" i="13" s="1"/>
  <c r="E135" i="13"/>
  <c r="F135" i="13" s="1"/>
  <c r="E134" i="13"/>
  <c r="F134" i="13" s="1"/>
  <c r="E133" i="13"/>
  <c r="F133" i="13" s="1"/>
  <c r="E132" i="13"/>
  <c r="F132" i="13" s="1"/>
  <c r="E131" i="13"/>
  <c r="F131" i="13" s="1"/>
  <c r="E130" i="13"/>
  <c r="F130" i="13" s="1"/>
  <c r="E129" i="13"/>
  <c r="F129" i="13" s="1"/>
  <c r="E128" i="13"/>
  <c r="F128" i="13" s="1"/>
  <c r="E127" i="13"/>
  <c r="F127" i="13" s="1"/>
  <c r="E126" i="13"/>
  <c r="F126" i="13" s="1"/>
  <c r="E125" i="13"/>
  <c r="F125" i="13" s="1"/>
  <c r="E124" i="13"/>
  <c r="F124" i="13" s="1"/>
  <c r="E123" i="13"/>
  <c r="F123" i="13" s="1"/>
  <c r="E122" i="13"/>
  <c r="F122" i="13" s="1"/>
  <c r="E121" i="13"/>
  <c r="F121" i="13" s="1"/>
  <c r="E120" i="13"/>
  <c r="F120" i="13" s="1"/>
  <c r="E119" i="13"/>
  <c r="F119" i="13" s="1"/>
  <c r="E118" i="13"/>
  <c r="F118" i="13" s="1"/>
  <c r="E117" i="13"/>
  <c r="F117" i="13" s="1"/>
  <c r="E116" i="13"/>
  <c r="F116" i="13" s="1"/>
  <c r="E115" i="13"/>
  <c r="F115" i="13" s="1"/>
  <c r="E114" i="13"/>
  <c r="F114" i="13" s="1"/>
  <c r="E113" i="13"/>
  <c r="F113" i="13" s="1"/>
  <c r="E112" i="13"/>
  <c r="F112" i="13" s="1"/>
  <c r="E111" i="13"/>
  <c r="F111" i="13" s="1"/>
  <c r="E110" i="13"/>
  <c r="F110" i="13" s="1"/>
  <c r="E109" i="13"/>
  <c r="F109" i="13" s="1"/>
  <c r="E108" i="13"/>
  <c r="F108" i="13" s="1"/>
  <c r="E107" i="13"/>
  <c r="F107" i="13" s="1"/>
  <c r="E106" i="13"/>
  <c r="F106" i="13" s="1"/>
  <c r="E105" i="13"/>
  <c r="F105" i="13" s="1"/>
  <c r="E104" i="13"/>
  <c r="F104" i="13" s="1"/>
  <c r="E103" i="13"/>
  <c r="F103" i="13" s="1"/>
  <c r="E102" i="13"/>
  <c r="F102" i="13" s="1"/>
  <c r="E101" i="13"/>
  <c r="F101" i="13" s="1"/>
  <c r="E100" i="13"/>
  <c r="F100" i="13" s="1"/>
  <c r="E99" i="13"/>
  <c r="F99" i="13" s="1"/>
  <c r="E98" i="13"/>
  <c r="F98" i="13" s="1"/>
  <c r="E97" i="13"/>
  <c r="F97" i="13" s="1"/>
  <c r="E96" i="13"/>
  <c r="F96" i="13" s="1"/>
  <c r="E95" i="13"/>
  <c r="F95" i="13" s="1"/>
  <c r="E94" i="13"/>
  <c r="F94" i="13" s="1"/>
  <c r="E93" i="13"/>
  <c r="F93" i="13" s="1"/>
  <c r="E92" i="13"/>
  <c r="F92" i="13" s="1"/>
  <c r="E91" i="13"/>
  <c r="F91" i="13" s="1"/>
  <c r="E90" i="13"/>
  <c r="F90" i="13" s="1"/>
  <c r="E89" i="13"/>
  <c r="F89" i="13" s="1"/>
  <c r="E88" i="13"/>
  <c r="F88" i="13" s="1"/>
  <c r="E87" i="13"/>
  <c r="F87" i="13" s="1"/>
  <c r="E86" i="13"/>
  <c r="F86" i="13" s="1"/>
  <c r="E85" i="13"/>
  <c r="F85" i="13" s="1"/>
  <c r="E84" i="13"/>
  <c r="F84" i="13" s="1"/>
  <c r="E83" i="13"/>
  <c r="F83" i="13" s="1"/>
  <c r="E82" i="13"/>
  <c r="F82" i="13" s="1"/>
  <c r="E81" i="13"/>
  <c r="F81" i="13" s="1"/>
  <c r="E80" i="13"/>
  <c r="F80" i="13" s="1"/>
  <c r="E79" i="13"/>
  <c r="F79" i="13" s="1"/>
  <c r="E78" i="13"/>
  <c r="F78" i="13" s="1"/>
  <c r="E77" i="13"/>
  <c r="F77" i="13" s="1"/>
  <c r="E76" i="13"/>
  <c r="F76" i="13" s="1"/>
  <c r="E75" i="13"/>
  <c r="F75" i="13" s="1"/>
  <c r="E74" i="13"/>
  <c r="F74" i="13" s="1"/>
  <c r="E73" i="13"/>
  <c r="F73" i="13" s="1"/>
  <c r="E72" i="13"/>
  <c r="F72" i="13" s="1"/>
  <c r="E71" i="13"/>
  <c r="F71" i="13" s="1"/>
  <c r="E70" i="13"/>
  <c r="F70" i="13" s="1"/>
  <c r="E69" i="13"/>
  <c r="F69" i="13" s="1"/>
  <c r="E68" i="13"/>
  <c r="F68" i="13" s="1"/>
  <c r="E67" i="13"/>
  <c r="F67" i="13" s="1"/>
  <c r="E66" i="13"/>
  <c r="F66" i="13" s="1"/>
  <c r="E65" i="13"/>
  <c r="F65" i="13" s="1"/>
  <c r="E64" i="13"/>
  <c r="F64" i="13" s="1"/>
  <c r="E63" i="13"/>
  <c r="F63" i="13" s="1"/>
  <c r="E62" i="13"/>
  <c r="F62" i="13" s="1"/>
  <c r="E61" i="13"/>
  <c r="F61" i="13" s="1"/>
  <c r="E60" i="13"/>
  <c r="F60" i="13" s="1"/>
  <c r="E59" i="13"/>
  <c r="F59" i="13" s="1"/>
  <c r="E58" i="13"/>
  <c r="F58" i="13" s="1"/>
  <c r="E57" i="13"/>
  <c r="F57" i="13" s="1"/>
  <c r="E56" i="13"/>
  <c r="F56" i="13" s="1"/>
  <c r="E55" i="13"/>
  <c r="F55" i="13" s="1"/>
  <c r="E54" i="13"/>
  <c r="F54" i="13" s="1"/>
  <c r="E53" i="13"/>
  <c r="F53" i="13" s="1"/>
  <c r="E52" i="13"/>
  <c r="F52" i="13" s="1"/>
  <c r="E51" i="13"/>
  <c r="F51" i="13" s="1"/>
  <c r="E50" i="13"/>
  <c r="F50" i="13" s="1"/>
  <c r="E49" i="13"/>
  <c r="F49" i="13" s="1"/>
  <c r="E48" i="13"/>
  <c r="F48" i="13" s="1"/>
  <c r="E47" i="13"/>
  <c r="F47" i="13" s="1"/>
  <c r="E46" i="13"/>
  <c r="F46" i="13" s="1"/>
  <c r="E45" i="13"/>
  <c r="F45" i="13" s="1"/>
  <c r="E44" i="13"/>
  <c r="F44" i="13" s="1"/>
  <c r="E43" i="13"/>
  <c r="F43" i="13" s="1"/>
  <c r="E42" i="13"/>
  <c r="F42" i="13" s="1"/>
  <c r="E41" i="13"/>
  <c r="F41" i="13" s="1"/>
  <c r="E40" i="13"/>
  <c r="F40" i="13" s="1"/>
  <c r="E39" i="13"/>
  <c r="F39" i="13" s="1"/>
  <c r="E38" i="13"/>
  <c r="F38" i="13" s="1"/>
  <c r="E37" i="13"/>
  <c r="F37" i="13" s="1"/>
  <c r="E36" i="13"/>
  <c r="F36" i="13" s="1"/>
  <c r="E35" i="13"/>
  <c r="F35" i="13" s="1"/>
  <c r="E34" i="13"/>
  <c r="F34" i="13" s="1"/>
  <c r="E33" i="13"/>
  <c r="F33" i="13" s="1"/>
  <c r="E32" i="13"/>
  <c r="F32" i="13" s="1"/>
  <c r="E31" i="13"/>
  <c r="F31" i="13" s="1"/>
  <c r="E30" i="13"/>
  <c r="F30" i="13" s="1"/>
  <c r="E29" i="13"/>
  <c r="F29" i="13" s="1"/>
  <c r="E28" i="13"/>
  <c r="F28" i="13" s="1"/>
  <c r="E27" i="13"/>
  <c r="F27" i="13" s="1"/>
  <c r="E26" i="13"/>
  <c r="F26" i="13" s="1"/>
  <c r="E25" i="13"/>
  <c r="F25" i="13" s="1"/>
  <c r="E24" i="13"/>
  <c r="F24" i="13" s="1"/>
  <c r="E23" i="13"/>
  <c r="F23" i="13" s="1"/>
  <c r="E22" i="13"/>
  <c r="F22" i="13" s="1"/>
  <c r="E21" i="13"/>
  <c r="F21" i="13" s="1"/>
  <c r="E20" i="13"/>
  <c r="F20" i="13" s="1"/>
  <c r="E19" i="13"/>
  <c r="F19" i="13" s="1"/>
  <c r="E18" i="13"/>
  <c r="F18" i="13" s="1"/>
  <c r="E17" i="13"/>
  <c r="F17" i="13" s="1"/>
  <c r="E16" i="13"/>
  <c r="F16" i="13" s="1"/>
  <c r="E15" i="13"/>
  <c r="F15" i="13" s="1"/>
  <c r="E14" i="13"/>
  <c r="F14" i="13" s="1"/>
  <c r="E13" i="13"/>
  <c r="F13" i="13" s="1"/>
  <c r="E12" i="13"/>
  <c r="F12" i="13" s="1"/>
  <c r="E11" i="13"/>
  <c r="F11" i="13" s="1"/>
  <c r="E10" i="13"/>
  <c r="F10" i="13" s="1"/>
  <c r="E9" i="13"/>
  <c r="F9" i="13" s="1"/>
  <c r="E8" i="13"/>
  <c r="F8" i="13" s="1"/>
  <c r="E6" i="13"/>
  <c r="F6" i="13" s="1"/>
  <c r="E5" i="13"/>
  <c r="F5" i="13" s="1"/>
  <c r="E4" i="13"/>
  <c r="F4" i="13" s="1"/>
  <c r="E3" i="13"/>
  <c r="F3" i="13" s="1"/>
  <c r="E2" i="13"/>
  <c r="F2" i="13" s="1"/>
  <c r="E7" i="13"/>
  <c r="F7" i="13" s="1"/>
  <c r="G20" i="6" l="1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U44" i="6" l="1"/>
  <c r="U43" i="6"/>
  <c r="U42" i="6"/>
  <c r="U40" i="6"/>
  <c r="U39" i="6"/>
  <c r="U38" i="6"/>
  <c r="U37" i="6"/>
  <c r="U36" i="6"/>
  <c r="U35" i="6"/>
  <c r="U34" i="6"/>
  <c r="U33" i="6"/>
  <c r="U31" i="6"/>
  <c r="U30" i="6"/>
  <c r="U29" i="6"/>
  <c r="U28" i="6"/>
  <c r="U27" i="6"/>
  <c r="U26" i="6"/>
  <c r="U25" i="6"/>
  <c r="U24" i="6"/>
  <c r="U23" i="6"/>
  <c r="U22" i="6"/>
  <c r="U20" i="6"/>
  <c r="U19" i="6"/>
  <c r="U18" i="6"/>
  <c r="U17" i="6"/>
  <c r="U16" i="6"/>
  <c r="U15" i="6"/>
  <c r="U14" i="6"/>
  <c r="U13" i="6"/>
  <c r="U12" i="6"/>
  <c r="U11" i="6"/>
  <c r="U10" i="6"/>
  <c r="U9" i="6"/>
  <c r="U8" i="6"/>
  <c r="U7" i="6"/>
  <c r="U6" i="6"/>
  <c r="E44" i="6"/>
  <c r="M44" i="6" s="1"/>
  <c r="E43" i="6"/>
  <c r="G43" i="6" s="1"/>
  <c r="M42" i="6"/>
  <c r="G42" i="6"/>
  <c r="E42" i="6"/>
  <c r="E41" i="6"/>
  <c r="E40" i="6"/>
  <c r="M40" i="6" s="1"/>
  <c r="E39" i="6"/>
  <c r="G39" i="6" s="1"/>
  <c r="M38" i="6"/>
  <c r="G38" i="6"/>
  <c r="E38" i="6"/>
  <c r="M37" i="6"/>
  <c r="G37" i="6"/>
  <c r="E37" i="6"/>
  <c r="E36" i="6"/>
  <c r="M36" i="6" s="1"/>
  <c r="E35" i="6"/>
  <c r="G35" i="6" s="1"/>
  <c r="M34" i="6"/>
  <c r="G34" i="6"/>
  <c r="E34" i="6"/>
  <c r="M33" i="6"/>
  <c r="G33" i="6"/>
  <c r="E33" i="6"/>
  <c r="E32" i="6"/>
  <c r="E31" i="6"/>
  <c r="G31" i="6" s="1"/>
  <c r="M30" i="6"/>
  <c r="G30" i="6"/>
  <c r="E30" i="6"/>
  <c r="M29" i="6"/>
  <c r="G29" i="6"/>
  <c r="E29" i="6"/>
  <c r="E28" i="6"/>
  <c r="M28" i="6" s="1"/>
  <c r="E27" i="6"/>
  <c r="G27" i="6" s="1"/>
  <c r="M26" i="6"/>
  <c r="G26" i="6"/>
  <c r="E26" i="6"/>
  <c r="M25" i="6"/>
  <c r="G25" i="6"/>
  <c r="E25" i="6"/>
  <c r="E24" i="6"/>
  <c r="M24" i="6" s="1"/>
  <c r="E23" i="6"/>
  <c r="G23" i="6" s="1"/>
  <c r="M22" i="6"/>
  <c r="G22" i="6"/>
  <c r="E22" i="6"/>
  <c r="E20" i="6"/>
  <c r="M20" i="6" s="1"/>
  <c r="E19" i="6"/>
  <c r="M18" i="6"/>
  <c r="E18" i="6"/>
  <c r="M17" i="6"/>
  <c r="E17" i="6"/>
  <c r="E16" i="6"/>
  <c r="M16" i="6" s="1"/>
  <c r="E15" i="6"/>
  <c r="M14" i="6"/>
  <c r="E14" i="6"/>
  <c r="M13" i="6"/>
  <c r="E13" i="6"/>
  <c r="E12" i="6"/>
  <c r="M12" i="6" s="1"/>
  <c r="E11" i="6"/>
  <c r="M10" i="6"/>
  <c r="E10" i="6"/>
  <c r="M9" i="6"/>
  <c r="E9" i="6"/>
  <c r="E8" i="6"/>
  <c r="M8" i="6" s="1"/>
  <c r="E7" i="6"/>
  <c r="E6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M6" i="6"/>
  <c r="M7" i="6" l="1"/>
  <c r="M11" i="6"/>
  <c r="M15" i="6"/>
  <c r="M19" i="6"/>
  <c r="M23" i="6"/>
  <c r="M27" i="6"/>
  <c r="M31" i="6"/>
  <c r="M35" i="6"/>
  <c r="M39" i="6"/>
  <c r="M43" i="6"/>
  <c r="G24" i="6"/>
  <c r="G28" i="6"/>
  <c r="G36" i="6"/>
  <c r="G40" i="6"/>
  <c r="G44" i="6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</calcChain>
</file>

<file path=xl/connections.xml><?xml version="1.0" encoding="utf-8"?>
<connections xmlns="http://schemas.openxmlformats.org/spreadsheetml/2006/main">
  <connection id="1" name="PROD_List_shema2" type="4" refreshedVersion="0" background="1">
    <webPr xml="1" sourceData="1" url="C:\Users\rbartola\Documents\SharpDevelop Projects\WouldBe_PDM_sharpdev\WouldBe_PDM_sharpdev\bin\Debug\PROD_List_shema2.xml" htmlTables="1" htmlFormat="all"/>
  </connection>
  <connection id="2" name="product - Copia" type="4" refreshedVersion="0" background="1">
    <webPr xml="1" sourceData="1" url="C:\Users\rbartola\Documents\SharpDevelop Projects\WouldBe_PDM_sharpdev\WouldBe_PDM_sharpdev\bin\Debug\product - Copia.xml" htmlTables="1" htmlFormat="all"/>
  </connection>
  <connection id="3" name="product - Copia - Copia" type="4" refreshedVersion="0" background="1">
    <webPr xml="1" sourceData="1" url="C:\Users\rbartola\Documents\SharpDevelop Projects\WouldBe_PDM_sharpdev\WouldBe_PDM_sharpdev\bin\Debug\product - Copia - Copia.xml" htmlTables="1" htmlFormat="all"/>
  </connection>
  <connection id="4" name="PRT_Liste_shema" type="4" refreshedVersion="0" background="1">
    <webPr xml="1" sourceData="1" url="C:\Users\rbartola\Documents\SharpDevelop Projects\WouldBe_PDM_sharpdev\WouldBe_PDM_sharpdev\bin\Debug\PRT_Liste_shema.xml" htmlTables="1" htmlFormat="all"/>
  </connection>
  <connection id="5" name="PRT_Liste_shema1" type="4" refreshedVersion="0" background="1">
    <webPr xml="1" sourceData="1" url="C:\Users\rbartola\Documents\SharpDevelop Projects\WouldBe_PDM_sharpdev\WouldBe_PDM_sharpdev\bin\Debug\PRT_Liste_shema.xml" htmlTables="1" htmlFormat="all"/>
  </connection>
  <connection id="6" name="TOT_List_shema" type="4" refreshedVersion="0" background="1">
    <webPr xml="1" sourceData="1" url="C:\Users\rbartola\Documents\SharpDevelop Projects\WouldBe_PDM_sharpdev\WouldBe_PDM_sharpdev\bin\Debug\TOT_List_shema.xml" htmlTables="1" htmlFormat="all"/>
  </connection>
  <connection id="7" name="TOT_List_shema1" type="4" refreshedVersion="0" background="1">
    <webPr xml="1" sourceData="1" url="C:\Users\rbartola\Documents\SharpDevelop Projects\WouldBe_PDM_sharpdev\WouldBe_PDM_sharpdev\bin\Debug\TOT_List_shema.xml" htmlTables="1" htmlFormat="all"/>
  </connection>
  <connection id="8" name="TOT_List_shema2" type="4" refreshedVersion="0" background="1">
    <webPr xml="1" sourceData="1" url="C:\Users\rbartola\Documents\SharpDevelop Projects\WouldBe_PDM_sharpdev\WouldBe_PDM_sharpdev\bin\Debug\WouldBeXML.xml" htmlTables="1" htmlFormat="all"/>
  </connection>
  <connection id="9" name="TOT_List_shema3" type="4" refreshedVersion="0" background="1">
    <webPr xml="1" sourceData="1" url="C:\Users\rbartola\Documents\SharpDevelop Projects\WouldBe_PDM_sharpdev\WouldBe_PDM_sharpdev\bin\Debug\TOT_List_shema.xml" htmlTables="1" htmlFormat="all"/>
  </connection>
  <connection id="10" name="WouldBw_XML_Schema" type="4" refreshedVersion="0" background="1">
    <webPr xml="1" sourceData="1" url="C:\Users\rbartola\Documents\SharpDevelop Projects\WouldBe_PDM_sharpdev\WouldBe_PDM_sharpdev\bin\Debug\WouldBw_XML_Schema.xml" htmlTables="1" htmlFormat="all"/>
  </connection>
  <connection id="11" name="WouldBw_XML_Schema1" type="4" refreshedVersion="0" background="1">
    <webPr xml="1" sourceData="1" url="C:\Users\rbartola\Documents\SharpDevelop Projects\WouldBe_PDM_sharpdev\WouldBe_PDM_sharpdev\bin\Debug\WouldBw_XML_Schema.xml" htmlTables="1" htmlFormat="all"/>
  </connection>
  <connection id="12" name="WouldBw_XML_Schema2" type="4" refreshedVersion="0" background="1">
    <webPr xml="1" sourceData="1" url="C:\Users\rbartola\Documents\SharpDevelop Projects\WouldBe_PDM_sharpdev\WouldBe_PDM_sharpdev\bin\Debug\WouldBw_XML_Schema.xml" htmlTables="1" htmlFormat="all"/>
  </connection>
  <connection id="13" name="WouldBw_XML_Schema3" type="4" refreshedVersion="0" background="1">
    <webPr xml="1" sourceData="1" url="C:\Users\rbartola\Documents\SharpDevelop Projects\WouldBe_PDM_sharpdev\WouldBe_PDM_sharpdev\bin\Debug\WouldBw_XML_Schema.xml" htmlTables="1" htmlFormat="all"/>
  </connection>
  <connection id="14" name="WouldBw_XML_Schema4" type="4" refreshedVersion="0" background="1">
    <webPr xml="1" sourceData="1" url="C:\Users\rbartola\Documents\SharpDevelop Projects\WouldBe_PDM_sharpdev\WouldBe_PDM_sharpdev\bin\Debug\WouldBw_XML_Schema.xml" htmlTables="1" htmlFormat="all"/>
  </connection>
</connections>
</file>

<file path=xl/sharedStrings.xml><?xml version="1.0" encoding="utf-8"?>
<sst xmlns="http://schemas.openxmlformats.org/spreadsheetml/2006/main" count="4781" uniqueCount="819">
  <si>
    <t>Code</t>
  </si>
  <si>
    <t>Designer</t>
  </si>
  <si>
    <t>Date</t>
  </si>
  <si>
    <t>Rev</t>
  </si>
  <si>
    <t>Status</t>
  </si>
  <si>
    <t>Pdf</t>
  </si>
  <si>
    <t>Step</t>
  </si>
  <si>
    <t>Material</t>
  </si>
  <si>
    <t>TThreat</t>
  </si>
  <si>
    <t>Coat</t>
  </si>
  <si>
    <t>Weight</t>
  </si>
  <si>
    <t>Supplyer</t>
  </si>
  <si>
    <t>TWO_D</t>
  </si>
  <si>
    <t>Component</t>
  </si>
  <si>
    <t>no_extension</t>
  </si>
  <si>
    <t>C_Type</t>
  </si>
  <si>
    <t>C_CODE</t>
  </si>
  <si>
    <t>C_REV</t>
  </si>
  <si>
    <t>C_Data</t>
  </si>
  <si>
    <t>C_Status</t>
  </si>
  <si>
    <t>C_Designer</t>
  </si>
  <si>
    <t>C_TwoD</t>
  </si>
  <si>
    <t>C_Three_D</t>
  </si>
  <si>
    <t>Esporta</t>
  </si>
  <si>
    <t>8S0_823_509____DMU_________________20150213.CATProduct</t>
  </si>
  <si>
    <t>8S0_823_509____DMU_________________20150213</t>
  </si>
  <si>
    <t>Assembly</t>
  </si>
  <si>
    <t>01_01_1970</t>
  </si>
  <si>
    <t>Active</t>
  </si>
  <si>
    <t>Bartola</t>
  </si>
  <si>
    <t/>
  </si>
  <si>
    <t>95B.823.529-TM2_BWD GAN SICUREZZA_cinematico.CATPart</t>
  </si>
  <si>
    <t>95B.823.529-TM2_BWD GAN SICUREZZA_cinematico</t>
  </si>
  <si>
    <t>Part</t>
  </si>
  <si>
    <t>95B.823.536-TM2_BWD SALTARELLO_Cinematico.CATPart</t>
  </si>
  <si>
    <t>95B.823.536-TM2_BWD SALTARELLO_Cinematico</t>
  </si>
  <si>
    <t>A0845.00_C-NASTRO-S355MC-1.5X128.CATDrawing</t>
  </si>
  <si>
    <t>A0845.00_C-NASTRO-S355MC-1.5X128</t>
  </si>
  <si>
    <t>Drawing</t>
  </si>
  <si>
    <t>A0845.00</t>
  </si>
  <si>
    <t>C</t>
  </si>
  <si>
    <t>A0846.00_A-RESINA LOCTITE UV 3081.CATDrawing</t>
  </si>
  <si>
    <t>A0846.00_A-RESINA LOCTITE UV 3081</t>
  </si>
  <si>
    <t>A0846.00</t>
  </si>
  <si>
    <t>A</t>
  </si>
  <si>
    <t>A0854.00_B-NASTRO-S355MC-1.5X135.CATDrawing</t>
  </si>
  <si>
    <t>A0854.00_B-NASTRO-S355MC-1.5X135</t>
  </si>
  <si>
    <t>A0854.00</t>
  </si>
  <si>
    <t>B</t>
  </si>
  <si>
    <t>A0903.00_B-NASTRO C45  120X2.5.CATDrawing</t>
  </si>
  <si>
    <t>A0903.00_B-NASTRO C45  120X2.5</t>
  </si>
  <si>
    <t>A0903.00</t>
  </si>
  <si>
    <t>A0907.00_B-NASTRO-C45_2.5X109.CATDrawing</t>
  </si>
  <si>
    <t>A0907.00_B-NASTRO-C45_2.5X109</t>
  </si>
  <si>
    <t>A0907.00</t>
  </si>
  <si>
    <t>B4353.01-G-SCATOLA MICRO.CATDrawing</t>
  </si>
  <si>
    <t>B4353.01-G-SCATOLA MICRO</t>
  </si>
  <si>
    <t>B4353.01</t>
  </si>
  <si>
    <t>G</t>
  </si>
  <si>
    <t>B4353.01-G-SCATOLA MICRO.CATPart</t>
  </si>
  <si>
    <t>B4354.01_C-PIASTRA SUPERIORE.CATDrawing</t>
  </si>
  <si>
    <t>B4354.01_C-PIASTRA SUPERIORE</t>
  </si>
  <si>
    <t>B4354.01</t>
  </si>
  <si>
    <t>B4354.01_C-PIASTRA SUPERIORE.CATPart</t>
  </si>
  <si>
    <t>B4355.02-E-MOLLA AUSILIARIA GANCIO SICUREZZA.CATDrawing</t>
  </si>
  <si>
    <t>B4355.02-E-MOLLA AUSILIARIA GANCIO SICUREZZA</t>
  </si>
  <si>
    <t>B4355.02</t>
  </si>
  <si>
    <t>E</t>
  </si>
  <si>
    <t>B4355.02-E-MOLLA AUSILIARIA GANCIO SICUREZZA.CATPart</t>
  </si>
  <si>
    <t>B4356.03_B-GANCIO-SICUREZZA-COSTAMPATO.CATDrawing</t>
  </si>
  <si>
    <t>B4356.03_B-GANCIO-SICUREZZA-COSTAMPATO</t>
  </si>
  <si>
    <t>B4356.03</t>
  </si>
  <si>
    <t>B4356.03_B-GANCIO-SICUREZZA-COSTAMPATO.CATPart</t>
  </si>
  <si>
    <t>B4357.02_C-GANCIO COSTAMPATO.CATDrawing</t>
  </si>
  <si>
    <t>B4357.02_C-GANCIO COSTAMPATO</t>
  </si>
  <si>
    <t>B4357.02</t>
  </si>
  <si>
    <t>B4357.02_C-GANCIO COSTAMPATO.CATPart</t>
  </si>
  <si>
    <t>B4358.01_A- CILINDRO ESPULSORE.CATDrawing</t>
  </si>
  <si>
    <t>B4358.01_A- CILINDRO ESPULSORE</t>
  </si>
  <si>
    <t>B4358.01</t>
  </si>
  <si>
    <t>B4359.00_E-MOLLA PER ESPULSORE.CATDrawing</t>
  </si>
  <si>
    <t>B4359.00_E-MOLLA PER ESPULSORE</t>
  </si>
  <si>
    <t>B4359.00</t>
  </si>
  <si>
    <t>B4359.00_E-MOLLA PER ESPULSORE.CATPart</t>
  </si>
  <si>
    <t>B4360.00-C-BUSSOLA ESPULSORE.CATDrawing</t>
  </si>
  <si>
    <t>B4360.00-C-BUSSOLA ESPULSORE</t>
  </si>
  <si>
    <t>B4360.00</t>
  </si>
  <si>
    <t>B4360.00-C-BUSSOLA ESPULSORE.CATPart</t>
  </si>
  <si>
    <t>B4361.02_E-PIASTRA INFERIORE.CATDrawing</t>
  </si>
  <si>
    <t>B4361.02_E-PIASTRA INFERIORE</t>
  </si>
  <si>
    <t>B4361.02</t>
  </si>
  <si>
    <t>B4361.02_E-PIASTRA INFERIORE.CATPart</t>
  </si>
  <si>
    <t>B4362.02_B2-SALTARELLO TRANCIATO.CATDrawing</t>
  </si>
  <si>
    <t>B4362.02_B2-SALTARELLO TRANCIATO</t>
  </si>
  <si>
    <t>B4362.02</t>
  </si>
  <si>
    <t>NULL</t>
  </si>
  <si>
    <t>B4362.04_SALTARELLO_TRANCIATO_NUOVO-STAMPO.CATPart</t>
  </si>
  <si>
    <t>B4362.04_SALTARELLO_TRANCIATO_NUOVO-STAMPO</t>
  </si>
  <si>
    <t>B4362.04</t>
  </si>
  <si>
    <t>B4363.01-A-GANCIO TRANCIATO.CATDrawing</t>
  </si>
  <si>
    <t>B4363.01-A-GANCIO TRANCIATO</t>
  </si>
  <si>
    <t>B4363.01</t>
  </si>
  <si>
    <t>B4364.02_C-SALTARELLO COSTAMP.CATPart</t>
  </si>
  <si>
    <t>B4364.02_C-SALTARELLO COSTAMP</t>
  </si>
  <si>
    <t>B4364.02</t>
  </si>
  <si>
    <t>B4364.04_SALTARELLO_COSTAMPATO.CATPart</t>
  </si>
  <si>
    <t>B4364.04_SALTARELLO_COSTAMPATO</t>
  </si>
  <si>
    <t>B4364.04</t>
  </si>
  <si>
    <t>B4366.00-C-PERNO SALTARELLO.CATDrawing</t>
  </si>
  <si>
    <t>B4366.00-C-PERNO SALTARELLO</t>
  </si>
  <si>
    <t>B4366.00</t>
  </si>
  <si>
    <t>B4366.00-C-PERNO SALTARELLO.CATPart</t>
  </si>
  <si>
    <t>B4366.02_A-PERNO SALTARELLO.CATDrawing</t>
  </si>
  <si>
    <t>B4366.02_A-PERNO SALTARELLO</t>
  </si>
  <si>
    <t>B4366.02</t>
  </si>
  <si>
    <t>B4367.00_C-MOLLA SALTARELLO.CATDrawing</t>
  </si>
  <si>
    <t>B4367.00_C-MOLLA SALTARELLO</t>
  </si>
  <si>
    <t>B4367.00</t>
  </si>
  <si>
    <t>B4367.00_C-MOLLA SALTARELLO.CATPart</t>
  </si>
  <si>
    <t>B4369.03_C-GANCIO-SICUREZZA-TRANCIATO.CATDrawing</t>
  </si>
  <si>
    <t>B4369.03_C-GANCIO-SICUREZZA-TRANCIATO</t>
  </si>
  <si>
    <t>B4369.03</t>
  </si>
  <si>
    <t>B4373.01_B-MOLLA GANCIO.CATDrawing</t>
  </si>
  <si>
    <t>B4373.01_B-MOLLA GANCIO</t>
  </si>
  <si>
    <t>B4373.01</t>
  </si>
  <si>
    <t>B4373.01_B-MOLLA GANCIO.CATPart</t>
  </si>
  <si>
    <t>B4374.00_F-MOLLA GANCIO SICUREZZA.CATDrawing</t>
  </si>
  <si>
    <t>B4374.00_F-MOLLA GANCIO SICUREZZA</t>
  </si>
  <si>
    <t>B4374.00</t>
  </si>
  <si>
    <t>F</t>
  </si>
  <si>
    <t>B4374.00_F-MOLLA GANCIO SICUREZZA.CATPart</t>
  </si>
  <si>
    <t>B4375.00_D-PERNO DOPPIO GANCIO.CATDrawing</t>
  </si>
  <si>
    <t>B4375.00_D-PERNO DOPPIO GANCIO</t>
  </si>
  <si>
    <t>B4375.00</t>
  </si>
  <si>
    <t>D</t>
  </si>
  <si>
    <t>B4375.00_D-PERNO DOPPIO GANCIO.CATPart</t>
  </si>
  <si>
    <t>B4375.01_A-PERNO DOPPIO GANCIO.CATDrawing</t>
  </si>
  <si>
    <t>B4375.01_A-PERNO DOPPIO GANCIO</t>
  </si>
  <si>
    <t>B4375.01</t>
  </si>
  <si>
    <t>B5264.00_B-PREASSEMBLAGGIO PRIMA RULLATURA.CATDrawing</t>
  </si>
  <si>
    <t>B5264.00_B-PREASSEMBLAGGIO PRIMA RULLATURA</t>
  </si>
  <si>
    <t>B5264.00</t>
  </si>
  <si>
    <t>B5265.00_B-PREASSEMBLAGGIO SECONDA RULLATURA.CATDrawing</t>
  </si>
  <si>
    <t>B5265.00_B-PREASSEMBLAGGIO SECONDA RULLATURA</t>
  </si>
  <si>
    <t>B5265.00</t>
  </si>
  <si>
    <t>B5475.00_A-CONNETTORE COSTAMPATO-PER-8W0.953.236.CATDrawing</t>
  </si>
  <si>
    <t>B5475.00_A-CONNETTORE COSTAMPATO-PER-8W0.953.236</t>
  </si>
  <si>
    <t>B5475.00</t>
  </si>
  <si>
    <t>B5478.00_A-CONNETTORE COSTAMPATO-PER-3V0.953.236-.CATDrawing</t>
  </si>
  <si>
    <t>B5478.00_A-CONNETTORE COSTAMPATO-PER-3V0.953.236-</t>
  </si>
  <si>
    <t>B5478.00</t>
  </si>
  <si>
    <t>B5481.00_A-CONNETTORE COSTAMPATO-PER-4M0.953.236-.CATDrawing</t>
  </si>
  <si>
    <t>B5481.00_A-CONNETTORE COSTAMPATO-PER-4M0.953.236-</t>
  </si>
  <si>
    <t>B5481.00</t>
  </si>
  <si>
    <t>B5767.03-Piastra_inferiore_tratt_superf.CATDrawing</t>
  </si>
  <si>
    <t>B5767.03-Piastra_inferiore_tratt_superf</t>
  </si>
  <si>
    <t>B5767.03</t>
  </si>
  <si>
    <t>B5768.02_Piastra_superiore_tratt_superf.CATDrawing</t>
  </si>
  <si>
    <t>B5768.02_Piastra_superiore_tratt_superf</t>
  </si>
  <si>
    <t>B5768.02</t>
  </si>
  <si>
    <t>B5769.02-B-SALTARELLO TRATTAMENTO TERMICO.CATDrawing</t>
  </si>
  <si>
    <t>B5769.02-B-SALTARELLO TRATTAMENTO TERMICO</t>
  </si>
  <si>
    <t>B5769.02</t>
  </si>
  <si>
    <t>B5770.02_A-SALTARELLO-TRATTAMENTO SUPERFICIALE.CATDrawing</t>
  </si>
  <si>
    <t>B5770.02_A-SALTARELLO-TRATTAMENTO SUPERFICIALE</t>
  </si>
  <si>
    <t>B5770.02</t>
  </si>
  <si>
    <t>B5771.01_A-GANCIO TRATTAMENTO TERMICO.CATDrawing</t>
  </si>
  <si>
    <t>B5771.01_A-GANCIO TRATTAMENTO TERMICO</t>
  </si>
  <si>
    <t>B5771.01</t>
  </si>
  <si>
    <t>B5772.01_A-GANCIO TRATTAMENTO SUPERFICIALE.CATDrawing</t>
  </si>
  <si>
    <t>B5772.01_A-GANCIO TRATTAMENTO SUPERFICIALE</t>
  </si>
  <si>
    <t>B5772.01</t>
  </si>
  <si>
    <t>B5773.00_A-PERNO DOPPIO GANCIO TRATTATO.CATDrawing</t>
  </si>
  <si>
    <t>B5773.00_A-PERNO DOPPIO GANCIO TRATTATO</t>
  </si>
  <si>
    <t>B5773.00</t>
  </si>
  <si>
    <t>B5773.01-PERNO DOPPIO GANCIO TRATTATO.CATDrawing</t>
  </si>
  <si>
    <t>B5773.01-PERNO DOPPIO GANCIO TRATTATO</t>
  </si>
  <si>
    <t>B5773.01</t>
  </si>
  <si>
    <t>B5774.00_A-PERNO SALTARELLO TRATTATO.CATDrawing</t>
  </si>
  <si>
    <t>B5774.00_A-PERNO SALTARELLO TRATTATO</t>
  </si>
  <si>
    <t>B5774.00</t>
  </si>
  <si>
    <t>B5774.02-PERNO SALTARELLO TRATTATO.CATDrawing</t>
  </si>
  <si>
    <t>B5774.02-PERNO SALTARELLO TRATTATO</t>
  </si>
  <si>
    <t>B5774.02</t>
  </si>
  <si>
    <t>B5775.03_A-GANCIO SICUREZZA TRATTAMENTO SUPERFICIALE.CATDrawing</t>
  </si>
  <si>
    <t>B5775.03_A-GANCIO SICUREZZA TRATTAMENTO SUPERFICIALE</t>
  </si>
  <si>
    <t>B5775.03</t>
  </si>
  <si>
    <t>B5779.00-D-MICRO IMC ZIPPY NO POST.CATDrawing</t>
  </si>
  <si>
    <t>B5779.00-D-MICRO IMC ZIPPY NO POST</t>
  </si>
  <si>
    <t>B5779.00</t>
  </si>
  <si>
    <t>B5780.00-B-CONNETTORE COSTAMPATO-PER-918.953.236.00.CATDrawing</t>
  </si>
  <si>
    <t>B5780.00-B-CONNETTORE COSTAMPATO-PER-918.953.236.00</t>
  </si>
  <si>
    <t>B5780.00</t>
  </si>
  <si>
    <t>B5784.00-D-MOLLA PER ESPULSORE 40-70N.CATDrawing</t>
  </si>
  <si>
    <t>B5784.00-D-MOLLA PER ESPULSORE 40-70N</t>
  </si>
  <si>
    <t>B5784.00</t>
  </si>
  <si>
    <t>B5829.01_B-CONNETTORE COSTAMPATO-PER-8S0.953.236-.CATDrawing</t>
  </si>
  <si>
    <t>B5829.01_B-CONNETTORE COSTAMPATO-PER-8S0.953.236-</t>
  </si>
  <si>
    <t>B5829.01</t>
  </si>
  <si>
    <t>B5847.00_A-CONNETTORE COSTAMPATO-PER-95B.953.236-.CATDrawing</t>
  </si>
  <si>
    <t>B5847.00_A-CONNETTORE COSTAMPATO-PER-95B.953.236-</t>
  </si>
  <si>
    <t>B5847.00</t>
  </si>
  <si>
    <t>B5904.03_A-GANCIO SICUREZZA TRATTAMENTO TERMICO.CATDrawing</t>
  </si>
  <si>
    <t>B5904.03_A-GANCIO SICUREZZA TRATTAMENTO TERMICO</t>
  </si>
  <si>
    <t>B5904.03</t>
  </si>
  <si>
    <t>B5905.00_B-MOLLA PER ESPULSORE 55-85N.CATDrawing</t>
  </si>
  <si>
    <t>B5905.00_B-MOLLA PER ESPULSORE 55-85N</t>
  </si>
  <si>
    <t>B5905.00</t>
  </si>
  <si>
    <t>B5906.00_B-MOLLA PER ESPULSORE 70-110N.CATDrawing</t>
  </si>
  <si>
    <t>B5906.00_B-MOLLA PER ESPULSORE 70-110N</t>
  </si>
  <si>
    <t>B5906.00</t>
  </si>
  <si>
    <t>B5907.00_C-MOLLA PER ESPULSORE-20-40N.CATDrawing</t>
  </si>
  <si>
    <t>B5907.00_C-MOLLA PER ESPULSORE-20-40N</t>
  </si>
  <si>
    <t>B5907.00</t>
  </si>
  <si>
    <t>B5929.01_C-BOCCOLA -TORNITA-ALTA-20.CATDrawing</t>
  </si>
  <si>
    <t>B5929.01_C-BOCCOLA -TORNITA-ALTA-20</t>
  </si>
  <si>
    <t>B5929.01</t>
  </si>
  <si>
    <t>B5929.01_C-BOCCOLA -TORNITA-ALTA-20.CATPart</t>
  </si>
  <si>
    <t>B5930.01-B-BOCCOLA TRATTATA.CATDrawing</t>
  </si>
  <si>
    <t>B5930.01-B-BOCCOLA TRATTATA</t>
  </si>
  <si>
    <t>B5930.01</t>
  </si>
  <si>
    <t>B6025.00_A-SALTARELLO BURATTATO.CATDrawing</t>
  </si>
  <si>
    <t>B6025.00_A-SALTARELLO BURATTATO</t>
  </si>
  <si>
    <t>B6025.00</t>
  </si>
  <si>
    <t>D3955.00-R8-ASSY ESPULSORE MQB-14-09-10.CATProduct</t>
  </si>
  <si>
    <t>D3955.00-R8-ASSY ESPULSORE MQB-14-09-10</t>
  </si>
  <si>
    <t>D3955.00</t>
  </si>
  <si>
    <t>D4183.02_A-CABLAGGIO-L120-8S0.953.236.CATDrawing</t>
  </si>
  <si>
    <t>D4183.02_A-CABLAGGIO-L120-8S0.953.236</t>
  </si>
  <si>
    <t>D4183.02</t>
  </si>
  <si>
    <t>D4553.00_A-CABLAGGIO-L100- CONNETTORE VW PER 3V0.953.236.CATDrawing</t>
  </si>
  <si>
    <t>D4553.00_A-CABLAGGIO-L100- CONNETTORE VW PER 3V0.953.236</t>
  </si>
  <si>
    <t>D4553.00</t>
  </si>
  <si>
    <t>D5044.00_A-CABLAGGIO-L200-918.953.236.CATDrawing</t>
  </si>
  <si>
    <t>D5044.00_A-CABLAGGIO-L200-918.953.236</t>
  </si>
  <si>
    <t>D5044.00</t>
  </si>
  <si>
    <t>D5061.00_A-CABLAGGIO-L100- 95B.953.236.CATDrawing</t>
  </si>
  <si>
    <t>D5061.00_A-CABLAGGIO-L100- 95B.953.236</t>
  </si>
  <si>
    <t>D5061.00</t>
  </si>
  <si>
    <t>D5785.05_A_TAB_010_831_D__DRW_TZ__016_____MULTI_FKS_AUDI_____P_B_FREI__141207QCSI.CATDrawing</t>
  </si>
  <si>
    <t>D5785.05_A_TAB_010_831_D__DRW_TZ__016_____MULTI_FKS_AUDI_____P_B_FREI__141207QCSI</t>
  </si>
  <si>
    <t>D5785.05</t>
  </si>
  <si>
    <t>D5804.00_A-CABLAGGIO-L110-4M0.953.236.CATDrawing</t>
  </si>
  <si>
    <t>D5804.00_A-CABLAGGIO-L110-4M0.953.236</t>
  </si>
  <si>
    <t>D5804.00</t>
  </si>
  <si>
    <t>D5805.00_A-CABLAGGIO-L115-8W0.953.236.CATDrawing</t>
  </si>
  <si>
    <t>D5805.00_A-CABLAGGIO-L115-8W0.953.236</t>
  </si>
  <si>
    <t>D5805.00</t>
  </si>
  <si>
    <t>Molla_chiusa.CATPart</t>
  </si>
  <si>
    <t>Molla_chiusa</t>
  </si>
  <si>
    <t>PRODUCT1-SCTR IN +3 E -5.CATProduct</t>
  </si>
  <si>
    <t>PRODUCT1-SCTR IN +3 E -5</t>
  </si>
  <si>
    <t>RPS-POINT.CATPart</t>
  </si>
  <si>
    <t>RPS-POINT</t>
  </si>
  <si>
    <t>SCTR CHIUSO A PACCO_8MM.CATPart</t>
  </si>
  <si>
    <t>SCTR CHIUSO A PACCO_8MM</t>
  </si>
  <si>
    <t>TAVOLA CON QUOTE.CATDrawing</t>
  </si>
  <si>
    <t>TAVOLA CON QUOTE</t>
  </si>
  <si>
    <t>8W0_823_509____DMU_________________20150213.CATProduct</t>
  </si>
  <si>
    <t>8W0_823_509____DMU_________________20150213</t>
  </si>
  <si>
    <t>8K0_823_509____DMU_________________20150213.CATProduct</t>
  </si>
  <si>
    <t>8K0_823_509____DMU_________________20150213</t>
  </si>
  <si>
    <t>pippo.CATPart</t>
  </si>
  <si>
    <t>pippo</t>
  </si>
  <si>
    <t>topolino2.CATProduct</t>
  </si>
  <si>
    <t>topolino2</t>
  </si>
  <si>
    <t>B3402_01_AtoB_CONNETTORE_COSTAMPATO_DIRITTO_20150731.CATDrawing</t>
  </si>
  <si>
    <t>B3402_01_AtoB_CONNETTORE_COSTAMPATO_DIRITTO_20150731</t>
  </si>
  <si>
    <t>B3402_01</t>
  </si>
  <si>
    <t>B3729_03_PIASTRA_SUP_TOUAREG_20150925.CATDrawing</t>
  </si>
  <si>
    <t>B3729_03_PIASTRA_SUP_TOUAREG_20150925</t>
  </si>
  <si>
    <t>B3729_03</t>
  </si>
  <si>
    <t>25_09_2015</t>
  </si>
  <si>
    <t>B3729_03_PIASTRA_SUP_TOUAREG_20150925.CATPart</t>
  </si>
  <si>
    <t>B4780_01_COPPRISERRATURA_ALTEA_XL_5P8_827_505_B_20150925.CATDrawing</t>
  </si>
  <si>
    <t>B4780_01_COPPRISERRATURA_ALTEA_XL_5P8_827_505_B_20150925</t>
  </si>
  <si>
    <t>B4780_01</t>
  </si>
  <si>
    <t>B4780_01_COPPRISERRATURA_ALTEA_XL_5P8_827_505_B_20150925.CATPart</t>
  </si>
  <si>
    <t>B4781_03_COPPRISERRATURA_ALTEA_5P0_827_505_F_SMUSSO_20150925.CATDrawing</t>
  </si>
  <si>
    <t>B4781_03_COPPRISERRATURA_ALTEA_5P0_827_505_F_SMUSSO_20150925</t>
  </si>
  <si>
    <t>B4781_03</t>
  </si>
  <si>
    <t>B4781_03_COPPRISERRATURA_ALTEA_5P0_827_505_F_SMUSSO_20150925.CATPart</t>
  </si>
  <si>
    <t>B4782_01_COPPRISERRATURA_TOLEDO_5P5_827_505_B_20150925.CATDrawing</t>
  </si>
  <si>
    <t>B4782_01_COPPRISERRATURA_TOLEDO_5P5_827_505_B_20150925</t>
  </si>
  <si>
    <t>B4782_01</t>
  </si>
  <si>
    <t>B4782_01_COPPRISERRATURA_TOLEDO_5P5_827_505_B_20150925.CATPart</t>
  </si>
  <si>
    <t>B4783_01_COPPRISERRATURA_LEON_1P0_827_505_D_20150925.CATDrawing</t>
  </si>
  <si>
    <t>B4783_01_COPPRISERRATURA_LEON_1P0_827_505_D_20150925</t>
  </si>
  <si>
    <t>B4783_01</t>
  </si>
  <si>
    <t>B4783_01_COPPRISERRATURA_LEON_1P0_827_505_D_20150925.CATPart</t>
  </si>
  <si>
    <t>B3729_02_C_PIASTRA_SUP_TOUAREG_20150914.CATDrawing</t>
  </si>
  <si>
    <t>B3729_02_C_PIASTRA_SUP_TOUAREG_20150914</t>
  </si>
  <si>
    <t>B3729_02</t>
  </si>
  <si>
    <t>Obsolete</t>
  </si>
  <si>
    <t>B3729_02_C_PIASTRA_SUP_TOUAREG_20150914.CATPart</t>
  </si>
  <si>
    <t>B4780_00_C_COPPRISERRATURA_ALTEA_XL_5P8_827_505_B_20150914.CATDrawing</t>
  </si>
  <si>
    <t>B4780_00_C_COPPRISERRATURA_ALTEA_XL_5P8_827_505_B_20150914</t>
  </si>
  <si>
    <t>B4780_00</t>
  </si>
  <si>
    <t>B4780_00_C_COPPRISERRATURA_ALTEA_XL_5P8_827_505_B_20150914.CATPart</t>
  </si>
  <si>
    <t>B4781_02_A_COPPRISERRATURA_ALTEA_5P0_827_505_F_SMUSSO_20150914.CATDrawing</t>
  </si>
  <si>
    <t>B4781_02_A_COPPRISERRATURA_ALTEA_5P0_827_505_F_SMUSSO_20150914</t>
  </si>
  <si>
    <t>B4781_02</t>
  </si>
  <si>
    <t>B4781_02_A_COPPRISERRATURA_ALTEA_5P0_827_505_F_SMUSSO_20150914.CATPart</t>
  </si>
  <si>
    <t>B4782_00_B_COPPRISERRATURA_TOLEDO_5P5_827_505_B_20150914.CATDrawing</t>
  </si>
  <si>
    <t>B4782_00_B_COPPRISERRATURA_TOLEDO_5P5_827_505_B_20150914</t>
  </si>
  <si>
    <t>B4782_00</t>
  </si>
  <si>
    <t>B4782_00_B_COPPRISERRATURA_TOLEDO_5P5_827_505_B_20150914.CATPart</t>
  </si>
  <si>
    <t>B4783_00_C_COPPRISERRATURA_LEON_1P0_827_505_D_20150914.CATDrawing</t>
  </si>
  <si>
    <t>B4783_00_C_COPPRISERRATURA_LEON_1P0_827_505_D_20150914</t>
  </si>
  <si>
    <t>B4783_00</t>
  </si>
  <si>
    <t>B4783_00_C_COPPRISERRATURA_LEON_1P0_827_505_D_20150914.CATPart</t>
  </si>
  <si>
    <t>Name</t>
  </si>
  <si>
    <t>NASTRO-S355MC-1.5X128</t>
  </si>
  <si>
    <t>RESINA LOCTITE UV 3081</t>
  </si>
  <si>
    <t>NASTRO-S355MC-1.5X135</t>
  </si>
  <si>
    <t>NASTRO C45  120X2.5</t>
  </si>
  <si>
    <t>NASTRO-C45_2.5X109</t>
  </si>
  <si>
    <t>CONNETTORE_COSTAMPATO_DIRITTO_20150731</t>
  </si>
  <si>
    <t>PIASTRA_SUP_TOUAREG_20150914</t>
  </si>
  <si>
    <t>PIASTRA_SUP_TOUAREG_20150925</t>
  </si>
  <si>
    <t>SCATOLA MICRO</t>
  </si>
  <si>
    <t>PIASTRA SUPERIORE</t>
  </si>
  <si>
    <t>MOLLA AUSILIARIA GANCIO SICUREZZA</t>
  </si>
  <si>
    <t>GANCIO-SICUREZZA-COSTAMPATO</t>
  </si>
  <si>
    <t>GANCIO COSTAMPATO</t>
  </si>
  <si>
    <t>CILINDRO ESPULSORE</t>
  </si>
  <si>
    <t>MOLLA PER ESPULSORE</t>
  </si>
  <si>
    <t>BUSSOLA ESPULSORE</t>
  </si>
  <si>
    <t>PIASTRA INFERIORE</t>
  </si>
  <si>
    <t>SALTARELLO TRANCIATO</t>
  </si>
  <si>
    <t>GANCIO TRANCIATO</t>
  </si>
  <si>
    <t>PERNO SALTARELLO</t>
  </si>
  <si>
    <t>MOLLA SALTARELLO</t>
  </si>
  <si>
    <t>GANCIO-SICUREZZA-TRANCIATO</t>
  </si>
  <si>
    <t>MOLLA GANCIO</t>
  </si>
  <si>
    <t>MOLLA GANCIO SICUREZZA</t>
  </si>
  <si>
    <t>PERNO DOPPIO GANCIO</t>
  </si>
  <si>
    <t>COPPRISERRATURA_ALTEA_XL_5P8_827_505_B_20150914</t>
  </si>
  <si>
    <t>PPRISERRATURA_ALTEA_XL_5P8_827_505_B_20150925</t>
  </si>
  <si>
    <t>COPPRISERRATURA_ALTEA_5P0_827_505_F_SMUSSO_20150914</t>
  </si>
  <si>
    <t>PPRISERRATURA_ALTEA_5P0_827_505_F_SMUSSO_20150925</t>
  </si>
  <si>
    <t>COPPRISERRATURA_TOLEDO_5P5_827_505_B_20150914</t>
  </si>
  <si>
    <t>PPRISERRATURA_TOLEDO_5P5_827_505_B_20150925</t>
  </si>
  <si>
    <t>COPPRISERRATURA_LEON_1P0_827_505_D_20150914</t>
  </si>
  <si>
    <t>PPRISERRATURA_LEON_1P0_827_505_D_20150925</t>
  </si>
  <si>
    <t>PREASSEMBLAGGIO PRIMA RULLATURA</t>
  </si>
  <si>
    <t>PREASSEMBLAGGIO SECONDA RULLATURA</t>
  </si>
  <si>
    <t>CONNETTORE COSTAMPATO-PER-8W0.953.236</t>
  </si>
  <si>
    <t>CONNETTORE COSTAMPATO-PER-3V0.953.236-</t>
  </si>
  <si>
    <t>CONNETTORE COSTAMPATO-PER-4M0.953.236-</t>
  </si>
  <si>
    <t>Piastra_inferiore_tratt_superf</t>
  </si>
  <si>
    <t>Piastra_superiore_tratt_superf</t>
  </si>
  <si>
    <t>SALTARELLO TRATTAMENTO TERMICO</t>
  </si>
  <si>
    <t>SALTARELLO-TRATTAMENTO SUPERFICIALE</t>
  </si>
  <si>
    <t>GANCIO TRATTAMENTO TERMICO</t>
  </si>
  <si>
    <t>GANCIO TRATTAMENTO SUPERFICIALE</t>
  </si>
  <si>
    <t>PERNO DOPPIO GANCIO TRATTATO</t>
  </si>
  <si>
    <t>RNO DOPPIO GANCIO TRATTATO</t>
  </si>
  <si>
    <t>PERNO SALTARELLO TRATTATO</t>
  </si>
  <si>
    <t>GANCIO SICUREZZA TRATTAMENTO SUPERFICIALE</t>
  </si>
  <si>
    <t>MICRO IMC ZIPPY NO POST</t>
  </si>
  <si>
    <t>CONNETTORE COSTAMPATO-PER-918.953.236.00</t>
  </si>
  <si>
    <t>MOLLA PER ESPULSORE 40-70N</t>
  </si>
  <si>
    <t>CONNETTORE COSTAMPATO-PER-8S0.953.236-</t>
  </si>
  <si>
    <t>CONNETTORE COSTAMPATO-PER-95B.953.236-</t>
  </si>
  <si>
    <t>GANCIO SICUREZZA TRATTAMENTO TERMICO</t>
  </si>
  <si>
    <t>MOLLA PER ESPULSORE 55-85N</t>
  </si>
  <si>
    <t>MOLLA PER ESPULSORE 70-110N</t>
  </si>
  <si>
    <t>MOLLA PER ESPULSORE-20-40N</t>
  </si>
  <si>
    <t>BOCCOLA -TORNITA-ALTA-20</t>
  </si>
  <si>
    <t>BOCCOLA TRATTATA</t>
  </si>
  <si>
    <t>SALTARELLO BURATTATO</t>
  </si>
  <si>
    <t>CABLAGGIO-L120-8S0.953.236</t>
  </si>
  <si>
    <t>CABLAGGIO-L100- CONNETTORE VW PER 3V0.953.236</t>
  </si>
  <si>
    <t>CABLAGGIO-L200-918.953.236</t>
  </si>
  <si>
    <t>CABLAGGIO-L100- 95B.953.236</t>
  </si>
  <si>
    <t>TAB_010_831_D__DRW_TZ__016_____MULTI_FKS_AUDI_____P_B_FREI__141207QCSI</t>
  </si>
  <si>
    <t>CABLAGGIO-L110-4M0.953.236</t>
  </si>
  <si>
    <t>CABLAGGIO-L115-8W0.953.236</t>
  </si>
  <si>
    <t>SALTARELLO COSTAMPATO</t>
  </si>
  <si>
    <t>ASSY ESPULSORE MQB-14-09-10</t>
  </si>
  <si>
    <t>A0845.00_C-NASTRO-S355MC-1.5X128.pdf</t>
  </si>
  <si>
    <t>A0846.00_A-RESINA LOCTITE UV 3081.pdf</t>
  </si>
  <si>
    <t>A0854.00_B-NASTRO-S355MC-1.5X135.pdf</t>
  </si>
  <si>
    <t>A0903.00_B-NASTRO C45  120X2.5.pdf</t>
  </si>
  <si>
    <t>A0907.00_B-NASTRO-C45_2.5X109.pdf</t>
  </si>
  <si>
    <t>B3402_01_AtoB_CONNETTORE_COSTAMPATO_DIRITTO_20150731.pdf</t>
  </si>
  <si>
    <t>B3729_02_C_PIASTRA_SUP_TOUAREG_20150914.pdf</t>
  </si>
  <si>
    <t>B3729_03_PIASTRA_SUP_TOUAREG_20150925.pdf</t>
  </si>
  <si>
    <t>B4353.01-G-SCATOLA MICRO.pdf</t>
  </si>
  <si>
    <t>B4354.01_C-PIASTRA SUPERIORE.pdf</t>
  </si>
  <si>
    <t>B4355.02-E-MOLLA AUSILIARIA GANCIO SICUREZZA.pdf</t>
  </si>
  <si>
    <t>B4356.03_B-GANCIO-SICUREZZA-COSTAMPATO.pdf</t>
  </si>
  <si>
    <t>B4357.02_C-GANCIO COSTAMPATO.pdf</t>
  </si>
  <si>
    <t>B4358.01_A- CILINDRO ESPULSORE.pdf</t>
  </si>
  <si>
    <t>B4359.00_E-MOLLA PER ESPULSORE.pdf</t>
  </si>
  <si>
    <t>B4360.00-C-BUSSOLA ESPULSORE.pdf</t>
  </si>
  <si>
    <t>B4361.02_E-PIASTRA INFERIORE.pdf</t>
  </si>
  <si>
    <t>B4362.02_B2-SALTARELLO TRANCIATO.pdf</t>
  </si>
  <si>
    <t>B4363.01-A-GANCIO TRANCIATO.pdf</t>
  </si>
  <si>
    <t>B4366.00-C-PERNO SALTARELLO.pdf</t>
  </si>
  <si>
    <t>B4366.02_A-PERNO SALTARELLO.pdf</t>
  </si>
  <si>
    <t>B4367.00_C-MOLLA SALTARELLO.pdf</t>
  </si>
  <si>
    <t>B4369.03_C-GANCIO-SICUREZZA-TRANCIATO.pdf</t>
  </si>
  <si>
    <t>B4373.01_B-MOLLA GANCIO.pdf</t>
  </si>
  <si>
    <t>B4374.00_F-MOLLA GANCIO SICUREZZA.pdf</t>
  </si>
  <si>
    <t>B4375.00_D-PERNO DOPPIO GANCIO.pdf</t>
  </si>
  <si>
    <t>B4375.01_A-PERNO DOPPIO GANCIO.pdf</t>
  </si>
  <si>
    <t>B4780_00_C_COPPRISERRATURA_ALTEA_XL_5P8_827_505_B_20150914.pdf</t>
  </si>
  <si>
    <t>B4780_01_COPPRISERRATURA_ALTEA_XL_5P8_827_505_B_20150925.pdf</t>
  </si>
  <si>
    <t>B4781_02_A_COPPRISERRATURA_ALTEA_5P0_827_505_F_SMUSSO_20150914.pdf</t>
  </si>
  <si>
    <t>B4781_03_COPPRISERRATURA_ALTEA_5P0_827_505_F_SMUSSO_20150925.pdf</t>
  </si>
  <si>
    <t>B4782_00_B_COPPRISERRATURA_TOLEDO_5P5_827_505_B_20150914.pdf</t>
  </si>
  <si>
    <t>B4782_01_COPPRISERRATURA_TOLEDO_5P5_827_505_B_20150925.pdf</t>
  </si>
  <si>
    <t>B4783_00_C_COPPRISERRATURA_LEON_1P0_827_505_D_20150914.pdf</t>
  </si>
  <si>
    <t>B4783_01_COPPRISERRATURA_LEON_1P0_827_505_D_20150925.pdf</t>
  </si>
  <si>
    <t>B5264.00_B-PREASSEMBLAGGIO PRIMA RULLATURA.pdf</t>
  </si>
  <si>
    <t>B5265.00_B-PREASSEMBLAGGIO SECONDA RULLATURA.pdf</t>
  </si>
  <si>
    <t>B5475.00_A-CONNETTORE COSTAMPATO-PER-8W0.953.236.pdf</t>
  </si>
  <si>
    <t>B5478.00_A-CONNETTORE COSTAMPATO-PER-3V0.953.236-.pdf</t>
  </si>
  <si>
    <t>B5481.00_A-CONNETTORE COSTAMPATO-PER-4M0.953.236-.pdf</t>
  </si>
  <si>
    <t>B5767.03-Piastra_inferiore_tratt_superf.pdf</t>
  </si>
  <si>
    <t>B5768.02_Piastra_superiore_tratt_superf.pdf</t>
  </si>
  <si>
    <t>B5769.02-B-SALTARELLO TRATTAMENTO TERMICO.pdf</t>
  </si>
  <si>
    <t>B5770.02_A-SALTARELLO-TRATTAMENTO SUPERFICIALE.pdf</t>
  </si>
  <si>
    <t>B5771.01_A-GANCIO TRATTAMENTO TERMICO.pdf</t>
  </si>
  <si>
    <t>B5772.01_A-GANCIO TRATTAMENTO SUPERFICIALE.pdf</t>
  </si>
  <si>
    <t>B5773.00_A-PERNO DOPPIO GANCIO TRATTATO.pdf</t>
  </si>
  <si>
    <t>B5773.01-PERNO DOPPIO GANCIO TRATTATO.pdf</t>
  </si>
  <si>
    <t>B5774.00_A-PERNO SALTARELLO TRATTATO.pdf</t>
  </si>
  <si>
    <t>B5774.02-PERNO SALTARELLO TRATTATO.pdf</t>
  </si>
  <si>
    <t>B5775.03_A-GANCIO SICUREZZA TRATTAMENTO SUPERFICIALE.pdf</t>
  </si>
  <si>
    <t>B5779.00-D-MICRO IMC ZIPPY NO POST.pdf</t>
  </si>
  <si>
    <t>B5780.00-B-CONNETTORE COSTAMPATO-PER-918.953.236.00.pdf</t>
  </si>
  <si>
    <t>B5784.00-D-MOLLA PER ESPULSORE 40-70N.pdf</t>
  </si>
  <si>
    <t>B5829.01_B-CONNETTORE COSTAMPATO-PER-8S0.953.236-.pdf</t>
  </si>
  <si>
    <t>B5847.00_A-CONNETTORE COSTAMPATO-PER-95B.953.236-.pdf</t>
  </si>
  <si>
    <t>B5904.03_A-GANCIO SICUREZZA TRATTAMENTO TERMICO.pdf</t>
  </si>
  <si>
    <t>B5905.00_B-MOLLA PER ESPULSORE 55-85N.pdf</t>
  </si>
  <si>
    <t>B5906.00_B-MOLLA PER ESPULSORE 70-110N.pdf</t>
  </si>
  <si>
    <t>B5907.00_C-MOLLA PER ESPULSORE-20-40N.pdf</t>
  </si>
  <si>
    <t>B5929.01_C-BOCCOLA -TORNITA-ALTA-20.pdf</t>
  </si>
  <si>
    <t>B5930.01-B-BOCCOLA TRATTATA.pdf</t>
  </si>
  <si>
    <t>B6025.00_A-SALTARELLO BURATTATO.pdf</t>
  </si>
  <si>
    <t>D4183.02_A-CABLAGGIO-L120-8S0.953.236.pdf</t>
  </si>
  <si>
    <t>D4553.00_A-CABLAGGIO-L100- CONNETTORE VW PER 3V0.953.236.pdf</t>
  </si>
  <si>
    <t>D5044.00_A-CABLAGGIO-L200-918.953.236.pdf</t>
  </si>
  <si>
    <t>D5061.00_A-CABLAGGIO-L100- 95B.953.236.pdf</t>
  </si>
  <si>
    <t>D5785.05_A_TAB_010_831_D__DRW_TZ__016_____MULTI_FKS_AUDI_____P_B_FREI__141207QCSI.pdf</t>
  </si>
  <si>
    <t>D5804.00_A-CABLAGGIO-L110-4M0.953.236.pdf</t>
  </si>
  <si>
    <t>D5805.00_A-CABLAGGIO-L115-8W0.953.236.pdf</t>
  </si>
  <si>
    <t>B3729_02_C_PIASTRA_SUP_TOUAREG_20150914.step</t>
  </si>
  <si>
    <t>B3729_03_PIASTRA_SUP_TOUAREG_20150925.step</t>
  </si>
  <si>
    <t>B4353.01-G-SCATOLA MICRO.step</t>
  </si>
  <si>
    <t>B4354.01_C-PIASTRA SUPERIORE.step</t>
  </si>
  <si>
    <t>B4355.02-E-MOLLA AUSILIARIA GANCIO SICUREZZA.step</t>
  </si>
  <si>
    <t>B4356.03_B-GANCIO-SICUREZZA-COSTAMPATO.step</t>
  </si>
  <si>
    <t>B4357.02_C-GANCIO COSTAMPATO.step</t>
  </si>
  <si>
    <t>B4359.00_E-MOLLA PER ESPULSORE.step</t>
  </si>
  <si>
    <t>B4360.00-C-BUSSOLA ESPULSORE.step</t>
  </si>
  <si>
    <t>B4361.02_E-PIASTRA INFERIORE.step</t>
  </si>
  <si>
    <t>B4362.04_SALTARELLO_TRANCIATO_NUOVO-STAMPO.step</t>
  </si>
  <si>
    <t>B4364.02_C-SALTARELLO COSTAMP.step</t>
  </si>
  <si>
    <t>B4364.04_SALTARELLO_COSTAMPATO.step</t>
  </si>
  <si>
    <t>B4366.00-C-PERNO SALTARELLO.step</t>
  </si>
  <si>
    <t>B4367.00_C-MOLLA SALTARELLO.step</t>
  </si>
  <si>
    <t>B4373.01_B-MOLLA GANCIO.step</t>
  </si>
  <si>
    <t>B4374.00_F-MOLLA GANCIO SICUREZZA.step</t>
  </si>
  <si>
    <t>B4375.00_D-PERNO DOPPIO GANCIO.step</t>
  </si>
  <si>
    <t>B4780_00_C_COPPRISERRATURA_ALTEA_XL_5P8_827_505_B_20150914.step</t>
  </si>
  <si>
    <t>B4780_01_COPPRISERRATURA_ALTEA_XL_5P8_827_505_B_20150925.step</t>
  </si>
  <si>
    <t>B4781_02_A_COPPRISERRATURA_ALTEA_5P0_827_505_F_SMUSSO_20150914.step</t>
  </si>
  <si>
    <t>B4781_03_COPPRISERRATURA_ALTEA_5P0_827_505_F_SMUSSO_20150925.step</t>
  </si>
  <si>
    <t>B4782_00_B_COPPRISERRATURA_TOLEDO_5P5_827_505_B_20150914.step</t>
  </si>
  <si>
    <t>B4782_01_COPPRISERRATURA_TOLEDO_5P5_827_505_B_20150925.step</t>
  </si>
  <si>
    <t>B4783_00_C_COPPRISERRATURA_LEON_1P0_827_505_D_20150914.step</t>
  </si>
  <si>
    <t>B4783_01_COPPRISERRATURA_LEON_1P0_827_505_D_20150925.step</t>
  </si>
  <si>
    <t>B5929.01_C-BOCCOLA -TORNITA-ALTA-20.step</t>
  </si>
  <si>
    <t>D3955.00-R8-ASSY ESPULSORE MQB-14-09-10.step</t>
  </si>
  <si>
    <t>Null</t>
  </si>
  <si>
    <t>THREE_D</t>
  </si>
  <si>
    <t>CodeBox.AppendText(prtcode);</t>
  </si>
  <si>
    <t>FamilyName</t>
  </si>
  <si>
    <t>ProjectName</t>
  </si>
  <si>
    <t>ProjectCode</t>
  </si>
  <si>
    <t>CustomerCode</t>
  </si>
  <si>
    <t>ProjectManager</t>
  </si>
  <si>
    <t>ProductCode</t>
  </si>
  <si>
    <t>ProductName</t>
  </si>
  <si>
    <t>Hood Latches</t>
  </si>
  <si>
    <t>Tail Gate</t>
  </si>
  <si>
    <t>MLB EVO</t>
  </si>
  <si>
    <t>Scirocco</t>
  </si>
  <si>
    <t>AUDI</t>
  </si>
  <si>
    <t>VW</t>
  </si>
  <si>
    <t>CUS01</t>
  </si>
  <si>
    <t>CUS02</t>
  </si>
  <si>
    <t>TAB_010_030_15D</t>
  </si>
  <si>
    <t>Work In Progress</t>
  </si>
  <si>
    <t>Capponi</t>
  </si>
  <si>
    <t>Component 4</t>
  </si>
  <si>
    <t>FamilyStatus</t>
  </si>
  <si>
    <t>CustomerName</t>
  </si>
  <si>
    <t>ProjectStatus</t>
  </si>
  <si>
    <t>ProductStatus</t>
  </si>
  <si>
    <t>PartName</t>
  </si>
  <si>
    <t>PartCode</t>
  </si>
  <si>
    <t>PartStatus</t>
  </si>
  <si>
    <t>PartRev</t>
  </si>
  <si>
    <t>PartDate</t>
  </si>
  <si>
    <t>PartDesigner</t>
  </si>
  <si>
    <t>PartTHREE_D</t>
  </si>
  <si>
    <t>PartStep</t>
  </si>
  <si>
    <t>PartTWO_D</t>
  </si>
  <si>
    <t>PartPdf</t>
  </si>
  <si>
    <t>PartWeight</t>
  </si>
  <si>
    <t>PartMaterial</t>
  </si>
  <si>
    <t>PartTThreat</t>
  </si>
  <si>
    <t>PartCoat</t>
  </si>
  <si>
    <t>PartSupplyer</t>
  </si>
  <si>
    <t>Push Push</t>
  </si>
  <si>
    <t>Windows Tank</t>
  </si>
  <si>
    <t>Pump</t>
  </si>
  <si>
    <t>3 Punti</t>
  </si>
  <si>
    <t>PQ 35</t>
  </si>
  <si>
    <t>SBL1</t>
  </si>
  <si>
    <t>SBL2</t>
  </si>
  <si>
    <t>SCS</t>
  </si>
  <si>
    <t>1K8.823.509.N</t>
  </si>
  <si>
    <t>5M0.827.505.H</t>
  </si>
  <si>
    <t>Stop</t>
  </si>
  <si>
    <t>Capogrosso</t>
  </si>
  <si>
    <t>8W0.823.509</t>
  </si>
  <si>
    <t>8S0.823.509</t>
  </si>
  <si>
    <t>aaa.bbb.ccc.ddd</t>
  </si>
  <si>
    <t>kkk.ggg.hhh.jjj</t>
  </si>
  <si>
    <t>Saltarello</t>
  </si>
  <si>
    <t>Gancio</t>
  </si>
  <si>
    <t>perno</t>
  </si>
  <si>
    <t>FamilyID</t>
  </si>
  <si>
    <t>ProjectID</t>
  </si>
  <si>
    <t>ProductCar</t>
  </si>
  <si>
    <t>Product2DName</t>
  </si>
  <si>
    <t>Product2DFilename</t>
  </si>
  <si>
    <t>Product2DREV</t>
  </si>
  <si>
    <t>Product2DDate</t>
  </si>
  <si>
    <t>Product2D</t>
  </si>
  <si>
    <t>AUDI TT</t>
  </si>
  <si>
    <t>AUDI Q3</t>
  </si>
  <si>
    <t>AUDI Q2</t>
  </si>
  <si>
    <t>Disegno2</t>
  </si>
  <si>
    <t>DDEVO</t>
  </si>
  <si>
    <t>DDSCIRO</t>
  </si>
  <si>
    <t>B8_GP</t>
  </si>
  <si>
    <t>PQ35</t>
  </si>
  <si>
    <t>DDSBL</t>
  </si>
  <si>
    <t>DDSBL2</t>
  </si>
  <si>
    <t>8S0_823_509____DMU_________________20150213.step</t>
  </si>
  <si>
    <t>95B.823.529-TM2_BWD GAN SICUREZZA_cinematico.step</t>
  </si>
  <si>
    <t>95B.823.536-TM2_BWD SALTARELLO_Cinematico.step</t>
  </si>
  <si>
    <t>Molla_chiusa.step</t>
  </si>
  <si>
    <t>PRODUCT1-SCTR IN +3 E -5.step</t>
  </si>
  <si>
    <t>RPS-POINT.step</t>
  </si>
  <si>
    <t>SCTR CHIUSO A PACCO_8MM.step</t>
  </si>
  <si>
    <t>8W0_823_509____DMU_________________20150213.step</t>
  </si>
  <si>
    <t>8K0_823_509____DMU_________________20150213.step</t>
  </si>
  <si>
    <t>pippo.step</t>
  </si>
  <si>
    <t>topolino2.step</t>
  </si>
  <si>
    <t>B3402_01_AtoB_CONNETTORE_COSTAMPATO_DIRITTO_20150731.step</t>
  </si>
  <si>
    <t>Z0000001</t>
  </si>
  <si>
    <t>Z0000002</t>
  </si>
  <si>
    <t>Z0000003</t>
  </si>
  <si>
    <t>Z0000004</t>
  </si>
  <si>
    <t>Z0000005</t>
  </si>
  <si>
    <t>Z0000006</t>
  </si>
  <si>
    <t>Z0000007</t>
  </si>
  <si>
    <t>Z0000008</t>
  </si>
  <si>
    <t>Z0000009</t>
  </si>
  <si>
    <t>Z0000010</t>
  </si>
  <si>
    <t>Z0000011</t>
  </si>
  <si>
    <t>PartActive</t>
  </si>
  <si>
    <t>Family_Name</t>
  </si>
  <si>
    <t>PRJ_Name</t>
  </si>
  <si>
    <t>PROD_Name</t>
  </si>
  <si>
    <t>Hood_latches</t>
  </si>
  <si>
    <t>MLB_EVO</t>
  </si>
  <si>
    <t>B4353.01-ZZZ-SCATOLA MICRO-PROTEZIONE CAVI REV 3.CATPart</t>
  </si>
  <si>
    <t>B4354.01_D-PIASTRA SUPERIORE________battute.CATPart</t>
  </si>
  <si>
    <t>B4356.03_D-GANCIO-SICUREZZA-COSTAMPATO.CATPart</t>
  </si>
  <si>
    <t>B4358.01_A-CILINDRO-ESPULSORE.CATPart</t>
  </si>
  <si>
    <t>B4364.02_C-SALTARELLO COSTAMPATO.CATDrawing</t>
  </si>
  <si>
    <t>Tail_gate_latches</t>
  </si>
  <si>
    <t>SBL</t>
  </si>
  <si>
    <t>SCS2</t>
  </si>
  <si>
    <t>B6411_00_A_CONNETTORE_COSTAMPATO_DIRITTO_20150808.CATDrawing</t>
  </si>
  <si>
    <t>B6411_00_A_CONNETTORE_COSTAMPATO_DIRITTO_20150808.CATPart</t>
  </si>
  <si>
    <t>PRJ01</t>
  </si>
  <si>
    <t>PRJ02</t>
  </si>
  <si>
    <t>PRJ03</t>
  </si>
  <si>
    <t>PRJ05</t>
  </si>
  <si>
    <t>PRJ06</t>
  </si>
  <si>
    <t>PRJ07</t>
  </si>
  <si>
    <t>PRJ08</t>
  </si>
  <si>
    <t>CODE</t>
  </si>
  <si>
    <t>A0845.00_C</t>
  </si>
  <si>
    <t>A0846.00_A</t>
  </si>
  <si>
    <t>A0854.00_B</t>
  </si>
  <si>
    <t>A0903.00_B</t>
  </si>
  <si>
    <t>A0907.00_B</t>
  </si>
  <si>
    <t>B4353.01_G</t>
  </si>
  <si>
    <t>B4354.01_C</t>
  </si>
  <si>
    <t>B4354.01_D</t>
  </si>
  <si>
    <t>B4355.02_E</t>
  </si>
  <si>
    <t>B4356.03_B</t>
  </si>
  <si>
    <t>B4356.03_D</t>
  </si>
  <si>
    <t>B4357.02_C</t>
  </si>
  <si>
    <t>B4358.01_A</t>
  </si>
  <si>
    <t>B4359.00_E</t>
  </si>
  <si>
    <t>B4360.00_C</t>
  </si>
  <si>
    <t>B4361.02_E</t>
  </si>
  <si>
    <t>B4363.01_A</t>
  </si>
  <si>
    <t>B4364.02_C</t>
  </si>
  <si>
    <t>B4366.00_C</t>
  </si>
  <si>
    <t>B4366.02_A</t>
  </si>
  <si>
    <t>B4367.00_C</t>
  </si>
  <si>
    <t>B4369.03_C</t>
  </si>
  <si>
    <t>B4373.01_B</t>
  </si>
  <si>
    <t>B4374.00_F</t>
  </si>
  <si>
    <t>B4375.00_D</t>
  </si>
  <si>
    <t>B4375.01_A</t>
  </si>
  <si>
    <t>B5264.00_B</t>
  </si>
  <si>
    <t>B5265.00_B</t>
  </si>
  <si>
    <t>B5475.00_A</t>
  </si>
  <si>
    <t>B5478.00_A</t>
  </si>
  <si>
    <t>B5481.00_A</t>
  </si>
  <si>
    <t>B5769.02_B</t>
  </si>
  <si>
    <t>B5770.02_A</t>
  </si>
  <si>
    <t>B5771.01_A</t>
  </si>
  <si>
    <t>B5772.01_A</t>
  </si>
  <si>
    <t>B5773.00_A</t>
  </si>
  <si>
    <t>B5774.00_A</t>
  </si>
  <si>
    <t>B5775.03_A</t>
  </si>
  <si>
    <t>B5779.00_D</t>
  </si>
  <si>
    <t>B5780.00_B</t>
  </si>
  <si>
    <t>B5784.00_D</t>
  </si>
  <si>
    <t>B5829.01_B</t>
  </si>
  <si>
    <t>B5847.00_A</t>
  </si>
  <si>
    <t>B5904.03_A</t>
  </si>
  <si>
    <t>B5905.00_B</t>
  </si>
  <si>
    <t>B5906.00_B</t>
  </si>
  <si>
    <t>B5907.00_C</t>
  </si>
  <si>
    <t>B5929.01_C</t>
  </si>
  <si>
    <t>B5930.01_B</t>
  </si>
  <si>
    <t>B6025.00_A</t>
  </si>
  <si>
    <t>D4183.02_A</t>
  </si>
  <si>
    <t>D4553.00_A</t>
  </si>
  <si>
    <t>D5044.00_A</t>
  </si>
  <si>
    <t>D5061.00_A</t>
  </si>
  <si>
    <t>D5785.05_A</t>
  </si>
  <si>
    <t>D5804.00_A</t>
  </si>
  <si>
    <t>D5805.00_A</t>
  </si>
  <si>
    <t>B6411.00_A</t>
  </si>
  <si>
    <t>B3729.03</t>
  </si>
  <si>
    <t>B4780.01</t>
  </si>
  <si>
    <t>B4781.03</t>
  </si>
  <si>
    <t>B4782.01</t>
  </si>
  <si>
    <t>B4783.01</t>
  </si>
  <si>
    <t>code2</t>
  </si>
  <si>
    <t>Z2001</t>
  </si>
  <si>
    <t>Z2002</t>
  </si>
  <si>
    <t>Z2003</t>
  </si>
  <si>
    <t>Z2004</t>
  </si>
  <si>
    <t>Z2005</t>
  </si>
  <si>
    <t>Z2006</t>
  </si>
  <si>
    <t>Z2007</t>
  </si>
  <si>
    <t>Z2008</t>
  </si>
  <si>
    <t>Z2009</t>
  </si>
  <si>
    <t>Z2010</t>
  </si>
  <si>
    <t>Z2011</t>
  </si>
  <si>
    <t>Z2012</t>
  </si>
  <si>
    <t>Z2013</t>
  </si>
  <si>
    <t>Z2014</t>
  </si>
  <si>
    <t>Z2015</t>
  </si>
  <si>
    <t>Z2016</t>
  </si>
  <si>
    <t>Z2017</t>
  </si>
  <si>
    <t>Z2018</t>
  </si>
  <si>
    <t>Z2019</t>
  </si>
  <si>
    <t>Z2020</t>
  </si>
  <si>
    <t>ProJectListed</t>
  </si>
  <si>
    <t>PartListed</t>
  </si>
  <si>
    <t>PROD01</t>
  </si>
  <si>
    <t>PROD02</t>
  </si>
  <si>
    <t>PROD03</t>
  </si>
  <si>
    <t>PROD05</t>
  </si>
  <si>
    <t>PROD06</t>
  </si>
  <si>
    <t>PROD08</t>
  </si>
  <si>
    <t>PROD04</t>
  </si>
  <si>
    <t>PRJ04</t>
  </si>
  <si>
    <t>FAM01</t>
  </si>
  <si>
    <t>FAM02</t>
  </si>
  <si>
    <t>FAM03</t>
  </si>
  <si>
    <t>FAM04</t>
  </si>
  <si>
    <t>FAM05</t>
  </si>
  <si>
    <t>B3402_01_NULL</t>
  </si>
  <si>
    <t>B3729_02_C</t>
  </si>
  <si>
    <t>B3729_03_NULL</t>
  </si>
  <si>
    <t>B4362.02_NULL</t>
  </si>
  <si>
    <t>B4362.04_NULL</t>
  </si>
  <si>
    <t>B4364.04_NULL</t>
  </si>
  <si>
    <t>B4780_00_C</t>
  </si>
  <si>
    <t>B4780_01_NULL</t>
  </si>
  <si>
    <t>B4781_02_A</t>
  </si>
  <si>
    <t>B4781_03_NULL</t>
  </si>
  <si>
    <t>B4782_00_B</t>
  </si>
  <si>
    <t>B4782_01_NULL</t>
  </si>
  <si>
    <t>B4783_00_C</t>
  </si>
  <si>
    <t>B4783_01_NULL</t>
  </si>
  <si>
    <t>B5767.03_NULL</t>
  </si>
  <si>
    <t>B5768.02_NULL</t>
  </si>
  <si>
    <t>B5773.01_NULL</t>
  </si>
  <si>
    <t>B5774.02_NULL</t>
  </si>
  <si>
    <t>D3955.00_NULL</t>
  </si>
  <si>
    <t>Z0000001_NULL</t>
  </si>
  <si>
    <t>Z0000002_NULL</t>
  </si>
  <si>
    <t>Z0000003_NULL</t>
  </si>
  <si>
    <t>Z0000004_NULL</t>
  </si>
  <si>
    <t>Z0000005_NULL</t>
  </si>
  <si>
    <t>Z0000006_NULL</t>
  </si>
  <si>
    <t>Z0000007_NULL</t>
  </si>
  <si>
    <t>Z0000008_NULL</t>
  </si>
  <si>
    <t>Z0000009_NULL</t>
  </si>
  <si>
    <t>Z0000010_NULL</t>
  </si>
  <si>
    <t>Z0000011_NULL</t>
  </si>
  <si>
    <t>PartImage</t>
  </si>
  <si>
    <t>A0845_00_C.jpg</t>
  </si>
  <si>
    <t>A0846_00_A.jpg</t>
  </si>
  <si>
    <t>A0854_00_B.jpg</t>
  </si>
  <si>
    <t>A0903_00_B.jpg</t>
  </si>
  <si>
    <t>A0907_00_B.jpg</t>
  </si>
  <si>
    <t>B3402_01.jpg</t>
  </si>
  <si>
    <t>B3729_02_C.jpg</t>
  </si>
  <si>
    <t>B3729_03.jpg</t>
  </si>
  <si>
    <t>B4353_01_G.jpg</t>
  </si>
  <si>
    <t>B4354_01_C.jpg</t>
  </si>
  <si>
    <t>B4355_02_E.jpg</t>
  </si>
  <si>
    <t>B4356_03_B.jpg</t>
  </si>
  <si>
    <t>B4357_02_C.jpg</t>
  </si>
  <si>
    <t>B4358_01_A.jpg</t>
  </si>
  <si>
    <t>B4359_00_E.jpg</t>
  </si>
  <si>
    <t>B4360_00_C.jpg</t>
  </si>
  <si>
    <t>B4361_02_E.jpg</t>
  </si>
  <si>
    <t>B4362_02.jpg</t>
  </si>
  <si>
    <t>B4362_04.jpg</t>
  </si>
  <si>
    <t>B4363_01_A.jpg</t>
  </si>
  <si>
    <t>B4364_02_C.jpg</t>
  </si>
  <si>
    <t>B4364_04.jpg</t>
  </si>
  <si>
    <t>B4366_00_C.jpg</t>
  </si>
  <si>
    <t>B4366_02_A.jpg</t>
  </si>
  <si>
    <t>B4367_00_C.jpg</t>
  </si>
  <si>
    <t>B4369_03_C.jpg</t>
  </si>
  <si>
    <t>B4373_01_B.jpg</t>
  </si>
  <si>
    <t>B4374_00_F.jpg</t>
  </si>
  <si>
    <t>B4375_00_D.jpg</t>
  </si>
  <si>
    <t>B4375_01_A.jpg</t>
  </si>
  <si>
    <t>B4780_00_C.jpg</t>
  </si>
  <si>
    <t>B4780_01.jpg</t>
  </si>
  <si>
    <t>B4781_02_A.jpg</t>
  </si>
  <si>
    <t>B4781_03.jpg</t>
  </si>
  <si>
    <t>B4782_00_B.jpg</t>
  </si>
  <si>
    <t>B4782_01.jpg</t>
  </si>
  <si>
    <t>B4783_00_C.jpg</t>
  </si>
  <si>
    <t>B4783_01.jpg</t>
  </si>
  <si>
    <t>B5264_00_B.jpg</t>
  </si>
  <si>
    <t>B5265_00_B.jpg</t>
  </si>
  <si>
    <t>B5475_00_A.jpg</t>
  </si>
  <si>
    <t>B5478_00_A.jpg</t>
  </si>
  <si>
    <t>B5481_00_A.jpg</t>
  </si>
  <si>
    <t>B5767_03.jpg</t>
  </si>
  <si>
    <t>B5768_02.jpg</t>
  </si>
  <si>
    <t>B5769_02_B.jpg</t>
  </si>
  <si>
    <t>B5770_02_A.jpg</t>
  </si>
  <si>
    <t>B5771_01_A.jpg</t>
  </si>
  <si>
    <t>B5772_01_A.jpg</t>
  </si>
  <si>
    <t>B5773_00_A.jpg</t>
  </si>
  <si>
    <t>B5773_01.jpg</t>
  </si>
  <si>
    <t>B5774_00_A.jpg</t>
  </si>
  <si>
    <t>B5774_02.jpg</t>
  </si>
  <si>
    <t>B5775_03_A.jpg</t>
  </si>
  <si>
    <t>B5779_00_D.jpg</t>
  </si>
  <si>
    <t>B5780_00_B.jpg</t>
  </si>
  <si>
    <t>B5784_00_D.jpg</t>
  </si>
  <si>
    <t>B5829_01_B.jpg</t>
  </si>
  <si>
    <t>B5847_00_A.jpg</t>
  </si>
  <si>
    <t>B5904_03_A.jpg</t>
  </si>
  <si>
    <t>B5905_00_B.jpg</t>
  </si>
  <si>
    <t>B5906_00_B.jpg</t>
  </si>
  <si>
    <t>B5907_00_C.jpg</t>
  </si>
  <si>
    <t>B5929_01_C.jpg</t>
  </si>
  <si>
    <t>B5930_01_B.jpg</t>
  </si>
  <si>
    <t>B6025_00_A.jpg</t>
  </si>
  <si>
    <t>D3955_00.jpg</t>
  </si>
  <si>
    <t>D4183_02_A.jpg</t>
  </si>
  <si>
    <t>D4553_00_A.jpg</t>
  </si>
  <si>
    <t>D5044_00_A.jpg</t>
  </si>
  <si>
    <t>D5061_00_A.jpg</t>
  </si>
  <si>
    <t>D5785_05_A.jpg</t>
  </si>
  <si>
    <t>D5804_00_A.jpg</t>
  </si>
  <si>
    <t>D5805_00_A.jpg</t>
  </si>
  <si>
    <t>Z0000001.jpg</t>
  </si>
  <si>
    <t>Z0000002.jpg</t>
  </si>
  <si>
    <t>Z0000003.jpg</t>
  </si>
  <si>
    <t>Z0000004.jpg</t>
  </si>
  <si>
    <t>Z0000005.jpg</t>
  </si>
  <si>
    <t>Z0000006.jpg</t>
  </si>
  <si>
    <t>Z0000007.jpg</t>
  </si>
  <si>
    <t>Z0000008.jpg</t>
  </si>
  <si>
    <t>Z0000009.jpg</t>
  </si>
  <si>
    <t>Z0000010.jpg</t>
  </si>
  <si>
    <t>Z0000011.jpg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</si>
</sst>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0" borderId="0" xfId="0" quotePrefix="1"/>
    <xf numFmtId="49" fontId="0" fillId="0" borderId="0" xfId="0" applyNumberFormat="1" applyFill="1"/>
    <xf numFmtId="49" fontId="0" fillId="0" borderId="1" xfId="0" applyNumberFormat="1" applyFont="1" applyFill="1" applyBorder="1"/>
    <xf numFmtId="49" fontId="0" fillId="0" borderId="2" xfId="0" applyNumberFormat="1" applyFont="1" applyFill="1" applyBorder="1"/>
  </cellXfs>
  <cellStyles count="1">
    <cellStyle name="Normale" xfId="0" builtinId="0"/>
  </cellStyles>
  <dxfs count="6"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fill>
        <patternFill patternType="solid">
          <fgColor indexed="64"/>
          <bgColor rgb="FFFFFF00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PartList">
        <xsd:complexType>
          <xsd:sequence minOccurs="0">
            <xsd:element minOccurs="0" maxOccurs="unbounded" nillable="true" name="Component" form="unqualified">
              <xsd:complexType>
                <xsd:sequence minOccurs="0">
                  <xsd:element minOccurs="0" nillable="true" type="xsd:integer" name="Code" form="unqualified"/>
                  <xsd:element minOccurs="0" nillable="true" type="xsd:integer" name="Name" form="unqualified"/>
                  <xsd:element minOccurs="0" nillable="true" type="xsd:integer" name="Status" form="unqualified"/>
                  <xsd:element minOccurs="0" nillable="true" type="xsd:integer" name="Rev" form="unqualified"/>
                  <xsd:element minOccurs="0" nillable="true" type="xsd:string" name="Date" form="unqualified"/>
                  <xsd:element minOccurs="0" nillable="true" type="xsd:integer" name="Designer" form="unqualified"/>
                  <xsd:element minOccurs="0" nillable="true" type="xsd:string" name="THREE_D" form="unqualified"/>
                  <xsd:element minOccurs="0" nillable="true" type="xsd:integer" name="Step" form="unqualified"/>
                  <xsd:element minOccurs="0" nillable="true" type="xsd:integer" name="TWO_D" form="unqualified"/>
                  <xsd:element minOccurs="0" nillable="true" type="xsd:string" name="Pdf" form="unqualified"/>
                  <xsd:element minOccurs="0" nillable="true" type="xsd:string" name="Weight" form="unqualified"/>
                  <xsd:element minOccurs="0" nillable="true" type="xsd:integer" name="Material" form="unqualified"/>
                  <xsd:element minOccurs="0" nillable="true" type="xsd:string" name="TThreat" form="unqualified"/>
                  <xsd:element minOccurs="0" nillable="true" type="xsd:integer" name="Coat" form="unqualified"/>
                  <xsd:element minOccurs="0" nillable="true" type="xsd:integer" name="Supplyer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WouldBePDM">
        <xsd:complexType>
          <xsd:sequence minOccurs="0">
            <xsd:element minOccurs="0" nillable="true" name="FamilyList" form="unqualified">
              <xsd:complexType>
                <xsd:sequence minOccurs="0">
                  <xsd:element minOccurs="0" maxOccurs="unbounded" nillable="true" name="Family" form="unqualified">
                    <xsd:complexType>
                      <xsd:sequence minOccurs="0">
                        <xsd:element minOccurs="0" nillable="true" type="xsd:string" name="FamilyName" form="unqualified"/>
                        <xsd:element minOccurs="0" nillable="true" type="xsd:string" name="FamilyID" form="unqualified"/>
                        <xsd:element minOccurs="0" nillable="true" type="xsd:string" name="FamilyStatus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ProjectList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all>
                        <xsd:element minOccurs="0" nillable="true" type="xsd:string" name="ProjectName" form="unqualified"/>
                        <xsd:element minOccurs="0" nillable="true" type="xsd:string" name="ProjectCode" form="unqualified"/>
                        <xsd:element minOccurs="0" nillable="true" type="xsd:string" name="ProjectID" form="unqualified"/>
                        <xsd:element minOccurs="0" nillable="true" type="xsd:string" name="FamilyID" form="unqualified"/>
                        <xsd:element minOccurs="0" nillable="true" type="xsd:string" name="CustomerName" form="unqualified"/>
                        <xsd:element minOccurs="0" nillable="true" type="xsd:string" name="CustomerCode" form="unqualified"/>
                        <xsd:element minOccurs="0" nillable="true" type="xsd:string" name="ProjectStatus" form="unqualified"/>
                        <xsd:element minOccurs="0" nillable="true" type="xsd:string" name="ProjectManager" form="unqualified"/>
                      </xsd:all>
                    </xsd:complexType>
                  </xsd:element>
                </xsd:sequence>
              </xsd:complexType>
            </xsd:element>
            <xsd:element minOccurs="0" nillable="true" name="ProductList" form="unqualified">
              <xsd:complexType>
                <xsd:sequence minOccurs="0">
                  <xsd:element minOccurs="0" maxOccurs="unbounded" nillable="true" name="Product" form="unqualified">
                    <xsd:complexType>
                      <xsd:all>
                        <xsd:element minOccurs="0" nillable="true" type="xsd:string" name="ProductName" form="unqualified"/>
                        <xsd:element minOccurs="0" nillable="true" type="xsd:string" name="ProductCar" form="unqualified"/>
                        <xsd:element minOccurs="0" nillable="true" type="xsd:string" name="ProductCode" form="unqualified"/>
                        <xsd:element minOccurs="0" nillable="true" type="xsd:string" name="ProductStatus" form="unqualified"/>
                        <xsd:element minOccurs="0" nillable="true" type="xsd:string" name="ProjectCode" form="unqualified"/>
                        <xsd:element minOccurs="0" nillable="true" type="xsd:string" name="Product2DName" form="unqualified"/>
                        <xsd:element minOccurs="0" nillable="true" type="xsd:string" name="Product2DFilename" form="unqualified"/>
                        <xsd:element minOccurs="0" nillable="true" type="xsd:string" name="Product2DREV" form="unqualified"/>
                        <xsd:element minOccurs="0" nillable="true" type="xsd:string" name="Product2DDate" form="unqualified"/>
                        <xsd:element minOccurs="0" nillable="true" type="xsd:string" name="Product2D" form="unqualified"/>
                      </xsd:all>
                    </xsd:complexType>
                  </xsd:element>
                </xsd:sequence>
              </xsd:complexType>
            </xsd:element>
            <xsd:element minOccurs="0" nillable="true" name="PartList" form="unqualified">
              <xsd:complexType>
                <xsd:sequence minOccurs="0">
                  <xsd:element minOccurs="0" maxOccurs="unbounded" nillable="true" name="Component" form="unqualified">
                    <xsd:complexType>
                      <xsd:sequence minOccurs="0">
                        <xsd:element minOccurs="0" nillable="true" type="xsd:string" name="PartName" form="unqualified"/>
                        <xsd:element minOccurs="0" nillable="true" type="xsd:string" name="PartCode" form="unqualified"/>
                        <xsd:element minOccurs="0" nillable="true" type="xsd:string" name="PartStatus" form="unqualified"/>
                        <xsd:element minOccurs="0" nillable="true" type="xsd:string" name="PartRev" form="unqualified"/>
                        <xsd:element minOccurs="0" nillable="true" type="xsd:string" name="PartDate" form="unqualified"/>
                        <xsd:element minOccurs="0" nillable="true" type="xsd:string" name="PartDesigner" form="unqualified"/>
                        <xsd:element minOccurs="0" nillable="true" type="xsd:string" name="PartTHREE_D" form="unqualified"/>
                        <xsd:element minOccurs="0" nillable="true" type="xsd:integer" name="PartStep" form="unqualified"/>
                        <xsd:element minOccurs="0" nillable="true" type="xsd:integer" name="PartTWO_D" form="unqualified"/>
                        <xsd:element minOccurs="0" nillable="true" type="xsd:string" name="PartPdf" form="unqualified"/>
                        <xsd:element minOccurs="0" nillable="true" type="xsd:string" name="PartWeight" form="unqualified"/>
                        <xsd:element minOccurs="0" nillable="true" type="xsd:integer" name="PartMaterial" form="unqualified"/>
                        <xsd:element minOccurs="0" nillable="true" type="xsd:string" name="PartTThreat" form="unqualified"/>
                        <xsd:element minOccurs="0" nillable="true" type="xsd:integer" name="PartCoat" form="unqualified"/>
                        <xsd:element minOccurs="0" nillable="true" type="xsd:integer" name="PartSupplyer" form="unqualified"/>
                        <xsd:element minOccurs="0" nillable="true" type="xsd:string" name="PartImag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PartMatch" form="unqualified">
              <xsd:complexType>
                <xsd:sequence minOccurs="0">
                  <xsd:element minOccurs="0" maxOccurs="unbounded" nillable="true" name="ComponentList" form="unqualified">
                    <xsd:complexType>
                      <xsd:sequence minOccurs="0">
                        <xsd:element minOccurs="0" nillable="true" type="xsd:string" name="PartListed" form="unqualified"/>
                        <xsd:element minOccurs="0" nillable="true" type="xsd:string" name="ProjectListed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4" Name="PartList_mapping" RootElement="PartList" SchemaID="Schema4" ShowImportExportValidationErrors="false" AutoFit="true" Append="false" PreserveSortAFLayout="true" PreserveFormat="true">
    <DataBinding FileBinding="true" ConnectionID="5" DataBindingLoadMode="1"/>
  </Map>
  <Map ID="15" Name="WouldBePDM_mapping" RootElement="WouldBePDM" SchemaID="Schema3" ShowImportExportValidationErrors="false" AutoFit="true" Append="false" PreserveSortAFLayout="true" PreserveFormat="true">
    <DataBinding FileBinding="true" ConnectionID="1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0</xdr:rowOff>
        </xdr:from>
        <xdr:to>
          <xdr:col>11</xdr:col>
          <xdr:colOff>561975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export PRT-XML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bartola/Documents/SharpDevelop%20Projects/PDM_XML_IO_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exportPARTS"/>
      <sheetName val="toexportPRJ_NEW"/>
      <sheetName val="toexport__OLD"/>
      <sheetName val="Inport_PRJ"/>
      <sheetName val="Inport_PART"/>
      <sheetName val="PDM_XML_IO_new"/>
    </sheetNames>
    <definedNames>
      <definedName name="EsportaXLM_PRT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ella2" displayName="Tabella2" ref="A1:O75" tableType="xml" totalsRowShown="0" connectionId="5">
  <autoFilter ref="A1:O75"/>
  <sortState ref="A2:O84">
    <sortCondition ref="A1:A88"/>
  </sortState>
  <tableColumns count="15">
    <tableColumn id="1" uniqueName="Code" name="Code">
      <xmlColumnPr mapId="4" xpath="/PartList/Component/Code" xmlDataType="integer"/>
    </tableColumn>
    <tableColumn id="2" uniqueName="Name" name="Name" dataDxfId="5">
      <xmlColumnPr mapId="4" xpath="/PartList/Component/Name" xmlDataType="integer"/>
    </tableColumn>
    <tableColumn id="3" uniqueName="Status" name="Status">
      <xmlColumnPr mapId="4" xpath="/PartList/Component/Status" xmlDataType="integer"/>
    </tableColumn>
    <tableColumn id="4" uniqueName="Rev" name="Rev">
      <xmlColumnPr mapId="4" xpath="/PartList/Component/Rev" xmlDataType="integer"/>
    </tableColumn>
    <tableColumn id="5" uniqueName="Date" name="Date">
      <xmlColumnPr mapId="4" xpath="/PartList/Component/Date" xmlDataType="string"/>
    </tableColumn>
    <tableColumn id="6" uniqueName="Designer" name="Designer">
      <xmlColumnPr mapId="4" xpath="/PartList/Component/Designer" xmlDataType="integer"/>
    </tableColumn>
    <tableColumn id="7" uniqueName="THREE_D" name="THREE_D" dataDxfId="4">
      <xmlColumnPr mapId="4" xpath="/PartList/Component/THREE_D" xmlDataType="string"/>
    </tableColumn>
    <tableColumn id="8" uniqueName="Step" name="Step">
      <xmlColumnPr mapId="4" xpath="/PartList/Component/Step" xmlDataType="integer"/>
    </tableColumn>
    <tableColumn id="9" uniqueName="TWO_D" name="TWO_D">
      <xmlColumnPr mapId="4" xpath="/PartList/Component/TWO_D" xmlDataType="integer"/>
    </tableColumn>
    <tableColumn id="10" uniqueName="Pdf" name="Pdf">
      <xmlColumnPr mapId="4" xpath="/PartList/Component/Pdf" xmlDataType="string"/>
    </tableColumn>
    <tableColumn id="11" uniqueName="Weight" name="Weight">
      <xmlColumnPr mapId="4" xpath="/PartList/Component/Weight" xmlDataType="string"/>
    </tableColumn>
    <tableColumn id="12" uniqueName="Material" name="Material">
      <xmlColumnPr mapId="4" xpath="/PartList/Component/Material" xmlDataType="integer"/>
    </tableColumn>
    <tableColumn id="13" uniqueName="TThreat" name="TThreat">
      <xmlColumnPr mapId="4" xpath="/PartList/Component/TThreat" xmlDataType="string"/>
    </tableColumn>
    <tableColumn id="14" uniqueName="Coat" name="Coat">
      <xmlColumnPr mapId="4" xpath="/PartList/Component/Coat" xmlDataType="integer"/>
    </tableColumn>
    <tableColumn id="15" uniqueName="Supplyer" name="Supplyer">
      <xmlColumnPr mapId="4" xpath="/PartList/Component/Supplyer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la1" displayName="Tabella1" ref="A1:C6" tableType="xml" totalsRowShown="0" connectionId="14">
  <autoFilter ref="A1:C6"/>
  <tableColumns count="3">
    <tableColumn id="1" uniqueName="FamilyName" name="FamilyName">
      <xmlColumnPr mapId="15" xpath="/WouldBePDM/FamilyList/Family/FamilyName" xmlDataType="string"/>
    </tableColumn>
    <tableColumn id="2" uniqueName="FamilyID" name="FamilyID">
      <xmlColumnPr mapId="15" xpath="/WouldBePDM/FamilyList/Family/FamilyID" xmlDataType="string"/>
    </tableColumn>
    <tableColumn id="3" uniqueName="FamilyStatus" name="FamilyStatus">
      <xmlColumnPr mapId="15" xpath="/WouldBePDM/FamilyList/Family/FamilyStatus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la3" displayName="Tabella3" ref="A1:H8" tableType="xml" totalsRowShown="0" connectionId="14">
  <autoFilter ref="A1:H8"/>
  <tableColumns count="8">
    <tableColumn id="1" uniqueName="ProjectName" name="ProjectName">
      <xmlColumnPr mapId="15" xpath="/WouldBePDM/ProjectList/Project/ProjectName" xmlDataType="string"/>
    </tableColumn>
    <tableColumn id="2" uniqueName="ProjectCode" name="ProjectCode">
      <xmlColumnPr mapId="15" xpath="/WouldBePDM/ProjectList/Project/ProjectCode" xmlDataType="string"/>
    </tableColumn>
    <tableColumn id="3" uniqueName="ProjectID" name="ProjectID">
      <xmlColumnPr mapId="15" xpath="/WouldBePDM/ProjectList/Project/ProjectID" xmlDataType="string"/>
    </tableColumn>
    <tableColumn id="4" uniqueName="FamilyID" name="FamilyID">
      <xmlColumnPr mapId="15" xpath="/WouldBePDM/ProjectList/Project/FamilyID" xmlDataType="string"/>
    </tableColumn>
    <tableColumn id="5" uniqueName="CustomerName" name="CustomerName">
      <xmlColumnPr mapId="15" xpath="/WouldBePDM/ProjectList/Project/CustomerName" xmlDataType="string"/>
    </tableColumn>
    <tableColumn id="6" uniqueName="CustomerCode" name="CustomerCode">
      <xmlColumnPr mapId="15" xpath="/WouldBePDM/ProjectList/Project/CustomerCode" xmlDataType="string"/>
    </tableColumn>
    <tableColumn id="7" uniqueName="ProjectStatus" name="ProjectStatus">
      <xmlColumnPr mapId="15" xpath="/WouldBePDM/ProjectList/Project/ProjectStatus" xmlDataType="string"/>
    </tableColumn>
    <tableColumn id="8" uniqueName="ProjectManager" name="ProjectManager">
      <xmlColumnPr mapId="15" xpath="/WouldBePDM/ProjectList/Project/ProjectManag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la4" displayName="Tabella4" ref="A1:J5" tableType="xml" totalsRowShown="0" connectionId="14">
  <autoFilter ref="A1:J5"/>
  <tableColumns count="10">
    <tableColumn id="1" uniqueName="ProductName" name="ProductName">
      <xmlColumnPr mapId="15" xpath="/WouldBePDM/ProductList/Product/ProductName" xmlDataType="string"/>
    </tableColumn>
    <tableColumn id="2" uniqueName="ProductCar" name="ProductCar">
      <xmlColumnPr mapId="15" xpath="/WouldBePDM/ProductList/Product/ProductCar" xmlDataType="string"/>
    </tableColumn>
    <tableColumn id="3" uniqueName="ProductCode" name="ProductCode">
      <xmlColumnPr mapId="15" xpath="/WouldBePDM/ProductList/Product/ProductCode" xmlDataType="string"/>
    </tableColumn>
    <tableColumn id="4" uniqueName="ProductStatus" name="ProductStatus">
      <xmlColumnPr mapId="15" xpath="/WouldBePDM/ProductList/Product/ProductStatus" xmlDataType="string"/>
    </tableColumn>
    <tableColumn id="5" uniqueName="ProjectCode" name="ProjectCode">
      <xmlColumnPr mapId="15" xpath="/WouldBePDM/ProductList/Product/ProjectCode" xmlDataType="string"/>
    </tableColumn>
    <tableColumn id="6" uniqueName="Product2DName" name="Product2DName">
      <xmlColumnPr mapId="15" xpath="/WouldBePDM/ProductList/Product/Product2DName" xmlDataType="string"/>
    </tableColumn>
    <tableColumn id="7" uniqueName="Product2DFilename" name="Product2DFilename">
      <xmlColumnPr mapId="15" xpath="/WouldBePDM/ProductList/Product/Product2DFilename" xmlDataType="string"/>
    </tableColumn>
    <tableColumn id="8" uniqueName="Product2DREV" name="Product2DREV">
      <xmlColumnPr mapId="15" xpath="/WouldBePDM/ProductList/Product/Product2DREV" xmlDataType="string"/>
    </tableColumn>
    <tableColumn id="9" uniqueName="Product2DDate" name="Product2DDate">
      <xmlColumnPr mapId="15" xpath="/WouldBePDM/ProductList/Product/Product2DDate" xmlDataType="string"/>
    </tableColumn>
    <tableColumn id="10" uniqueName="Product2D" name="Product2D">
      <xmlColumnPr mapId="15" xpath="/WouldBePDM/ProductList/Product/Product2D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la5" displayName="Tabella5" ref="A1:P86" tableType="xml" totalsRowShown="0" connectionId="14">
  <autoFilter ref="A1:P86"/>
  <tableColumns count="16">
    <tableColumn id="1" uniqueName="PartName" name="PartName">
      <xmlColumnPr mapId="15" xpath="/WouldBePDM/PartList/Component/PartName" xmlDataType="string"/>
    </tableColumn>
    <tableColumn id="2" uniqueName="PartCode" name="PartCode">
      <xmlColumnPr mapId="15" xpath="/WouldBePDM/PartList/Component/PartCode" xmlDataType="string"/>
    </tableColumn>
    <tableColumn id="3" uniqueName="PartStatus" name="PartStatus">
      <xmlColumnPr mapId="15" xpath="/WouldBePDM/PartList/Component/PartStatus" xmlDataType="string"/>
    </tableColumn>
    <tableColumn id="4" uniqueName="PartRev" name="PartRev">
      <xmlColumnPr mapId="15" xpath="/WouldBePDM/PartList/Component/PartRev" xmlDataType="string"/>
    </tableColumn>
    <tableColumn id="5" uniqueName="PartDate" name="PartDate">
      <xmlColumnPr mapId="15" xpath="/WouldBePDM/PartList/Component/PartDate" xmlDataType="string"/>
    </tableColumn>
    <tableColumn id="6" uniqueName="PartDesigner" name="PartDesigner">
      <xmlColumnPr mapId="15" xpath="/WouldBePDM/PartList/Component/PartDesigner" xmlDataType="string"/>
    </tableColumn>
    <tableColumn id="7" uniqueName="PartTHREE_D" name="PartTHREE_D">
      <xmlColumnPr mapId="15" xpath="/WouldBePDM/PartList/Component/PartTHREE_D" xmlDataType="string"/>
    </tableColumn>
    <tableColumn id="8" uniqueName="PartStep" name="PartStep">
      <xmlColumnPr mapId="15" xpath="/WouldBePDM/PartList/Component/PartStep" xmlDataType="integer"/>
    </tableColumn>
    <tableColumn id="9" uniqueName="PartTWO_D" name="PartTWO_D">
      <xmlColumnPr mapId="15" xpath="/WouldBePDM/PartList/Component/PartTWO_D" xmlDataType="integer"/>
    </tableColumn>
    <tableColumn id="10" uniqueName="PartPdf" name="PartPdf">
      <xmlColumnPr mapId="15" xpath="/WouldBePDM/PartList/Component/PartPdf" xmlDataType="string"/>
    </tableColumn>
    <tableColumn id="11" uniqueName="PartWeight" name="PartWeight">
      <xmlColumnPr mapId="15" xpath="/WouldBePDM/PartList/Component/PartWeight" xmlDataType="string"/>
    </tableColumn>
    <tableColumn id="12" uniqueName="PartMaterial" name="PartMaterial">
      <xmlColumnPr mapId="15" xpath="/WouldBePDM/PartList/Component/PartMaterial" xmlDataType="integer"/>
    </tableColumn>
    <tableColumn id="13" uniqueName="PartTThreat" name="PartTThreat">
      <xmlColumnPr mapId="15" xpath="/WouldBePDM/PartList/Component/PartTThreat" xmlDataType="string"/>
    </tableColumn>
    <tableColumn id="14" uniqueName="PartCoat" name="PartCoat">
      <xmlColumnPr mapId="15" xpath="/WouldBePDM/PartList/Component/PartCoat" xmlDataType="integer"/>
    </tableColumn>
    <tableColumn id="15" uniqueName="PartSupplyer" name="PartSupplyer">
      <xmlColumnPr mapId="15" xpath="/WouldBePDM/PartList/Component/PartSupplyer" xmlDataType="integer"/>
    </tableColumn>
    <tableColumn id="16" uniqueName="PartImage" name="PartImage">
      <xmlColumnPr mapId="15" xpath="/WouldBePDM/PartList/Component/Part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4" name="Tabella14" displayName="Tabella14" ref="A1:B149" tableType="xml" totalsRowShown="0" headerRowDxfId="3" dataDxfId="2" connectionId="14">
  <autoFilter ref="A1:B149"/>
  <tableColumns count="2">
    <tableColumn id="1" uniqueName="PartListed" name="PartListed" dataDxfId="1">
      <xmlColumnPr mapId="15" xpath="/WouldBePDM/PartMatch/ComponentList/PartListed" xmlDataType="string"/>
    </tableColumn>
    <tableColumn id="2" uniqueName="ProjectListed" name="ProJectListed" dataDxfId="0">
      <xmlColumnPr mapId="15" xpath="/WouldBePDM/PartMatch/ComponentList/ProjectListed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G198"/>
  <sheetViews>
    <sheetView topLeftCell="C1" workbookViewId="0">
      <pane ySplit="1" topLeftCell="A166" activePane="bottomLeft" state="frozen"/>
      <selection pane="bottomLeft" activeCell="C2" sqref="C2:C197"/>
    </sheetView>
  </sheetViews>
  <sheetFormatPr defaultRowHeight="15" x14ac:dyDescent="0.25"/>
  <cols>
    <col min="1" max="1" width="16.42578125" hidden="1" customWidth="1"/>
    <col min="2" max="2" width="10.28515625" hidden="1" customWidth="1"/>
    <col min="3" max="3" width="14.5703125" style="5" bestFit="1" customWidth="1"/>
    <col min="4" max="4" width="58.5703125" customWidth="1"/>
    <col min="5" max="5" width="0" hidden="1" customWidth="1"/>
  </cols>
  <sheetData>
    <row r="1" spans="1:7" ht="20.25" customHeight="1" x14ac:dyDescent="0.25">
      <c r="A1" t="s">
        <v>581</v>
      </c>
      <c r="B1" t="s">
        <v>582</v>
      </c>
      <c r="C1" s="5" t="s">
        <v>583</v>
      </c>
      <c r="D1" t="s">
        <v>13</v>
      </c>
      <c r="F1" t="s">
        <v>603</v>
      </c>
      <c r="G1" t="s">
        <v>667</v>
      </c>
    </row>
    <row r="2" spans="1:7" s="5" customFormat="1" x14ac:dyDescent="0.25">
      <c r="A2" s="5" t="s">
        <v>584</v>
      </c>
      <c r="B2" s="5" t="s">
        <v>585</v>
      </c>
      <c r="C2" s="5" t="s">
        <v>596</v>
      </c>
      <c r="D2" s="5" t="s">
        <v>24</v>
      </c>
      <c r="E2" s="5" t="str">
        <f t="shared" ref="E2:E33" si="0">IF(AND(OR(LEFT(RIGHT(D2,LEN(D2)-8),1)="_",LEFT(RIGHT(D2,LEN(D2)-8),1)="-"),OR(LEFT(RIGHT(D2,LEN(D2)-10),1)="_",LEFT(RIGHT(D2,LEN(D2)-10),1)="-")),LEFT(D2,10),LEFT(D2,8))</f>
        <v>8S0_823_</v>
      </c>
      <c r="F2" s="5" t="str">
        <f t="shared" ref="F2:F11" si="1">CONCATENATE(LEFT(E2,5),".",RIGHT(LEFT(E2,8),2),IF(LEN(E2)&gt;8,CONCATENATE("_",RIGHT(E2,1),""),""))</f>
        <v>8S0_8.3_</v>
      </c>
      <c r="G2" s="5" t="s">
        <v>668</v>
      </c>
    </row>
    <row r="3" spans="1:7" s="5" customFormat="1" x14ac:dyDescent="0.25">
      <c r="A3" s="5" t="s">
        <v>584</v>
      </c>
      <c r="B3" s="5" t="s">
        <v>585</v>
      </c>
      <c r="C3" s="5" t="s">
        <v>596</v>
      </c>
      <c r="D3" s="5" t="s">
        <v>31</v>
      </c>
      <c r="E3" s="5" t="str">
        <f t="shared" si="0"/>
        <v>95B.823.</v>
      </c>
      <c r="F3" s="5" t="str">
        <f t="shared" si="1"/>
        <v>95B.8.3.</v>
      </c>
      <c r="G3" s="5" t="s">
        <v>669</v>
      </c>
    </row>
    <row r="4" spans="1:7" s="5" customFormat="1" x14ac:dyDescent="0.25">
      <c r="A4" s="5" t="s">
        <v>584</v>
      </c>
      <c r="B4" s="5" t="s">
        <v>585</v>
      </c>
      <c r="C4" s="5" t="s">
        <v>596</v>
      </c>
      <c r="D4" s="5" t="s">
        <v>34</v>
      </c>
      <c r="E4" s="5" t="str">
        <f t="shared" si="0"/>
        <v>95B.823.</v>
      </c>
      <c r="F4" s="5" t="str">
        <f t="shared" si="1"/>
        <v>95B.8.3.</v>
      </c>
      <c r="G4" s="5" t="s">
        <v>670</v>
      </c>
    </row>
    <row r="5" spans="1:7" s="5" customFormat="1" x14ac:dyDescent="0.25">
      <c r="A5" s="5" t="s">
        <v>584</v>
      </c>
      <c r="B5" s="5" t="s">
        <v>585</v>
      </c>
      <c r="C5" s="5" t="s">
        <v>596</v>
      </c>
      <c r="D5" s="5" t="s">
        <v>36</v>
      </c>
      <c r="E5" s="5" t="str">
        <f t="shared" si="0"/>
        <v>A0845.00_C</v>
      </c>
      <c r="F5" s="5" t="str">
        <f t="shared" si="1"/>
        <v>A0845.00_C</v>
      </c>
      <c r="G5" s="5" t="s">
        <v>604</v>
      </c>
    </row>
    <row r="6" spans="1:7" s="5" customFormat="1" x14ac:dyDescent="0.25">
      <c r="A6" s="5" t="s">
        <v>584</v>
      </c>
      <c r="B6" s="5" t="s">
        <v>585</v>
      </c>
      <c r="C6" s="5" t="s">
        <v>596</v>
      </c>
      <c r="D6" s="5" t="s">
        <v>41</v>
      </c>
      <c r="E6" s="5" t="str">
        <f t="shared" si="0"/>
        <v>A0846.00_A</v>
      </c>
      <c r="F6" s="5" t="str">
        <f t="shared" si="1"/>
        <v>A0846.00_A</v>
      </c>
      <c r="G6" s="5" t="s">
        <v>605</v>
      </c>
    </row>
    <row r="7" spans="1:7" s="5" customFormat="1" x14ac:dyDescent="0.25">
      <c r="A7" s="5" t="s">
        <v>584</v>
      </c>
      <c r="B7" s="5" t="s">
        <v>585</v>
      </c>
      <c r="C7" s="5" t="s">
        <v>596</v>
      </c>
      <c r="D7" s="5" t="s">
        <v>45</v>
      </c>
      <c r="E7" s="5" t="str">
        <f t="shared" si="0"/>
        <v>A0854.00_B</v>
      </c>
      <c r="F7" s="5" t="str">
        <f t="shared" si="1"/>
        <v>A0854.00_B</v>
      </c>
      <c r="G7" s="5" t="s">
        <v>606</v>
      </c>
    </row>
    <row r="8" spans="1:7" s="5" customFormat="1" x14ac:dyDescent="0.25">
      <c r="A8" s="5" t="s">
        <v>584</v>
      </c>
      <c r="B8" s="5" t="s">
        <v>585</v>
      </c>
      <c r="C8" s="5" t="s">
        <v>596</v>
      </c>
      <c r="D8" s="5" t="s">
        <v>49</v>
      </c>
      <c r="E8" s="5" t="str">
        <f t="shared" si="0"/>
        <v>A0903.00_B</v>
      </c>
      <c r="F8" s="5" t="str">
        <f t="shared" si="1"/>
        <v>A0903.00_B</v>
      </c>
      <c r="G8" s="5" t="s">
        <v>607</v>
      </c>
    </row>
    <row r="9" spans="1:7" s="5" customFormat="1" x14ac:dyDescent="0.25">
      <c r="A9" s="5" t="s">
        <v>584</v>
      </c>
      <c r="B9" s="5" t="s">
        <v>585</v>
      </c>
      <c r="C9" s="5" t="s">
        <v>596</v>
      </c>
      <c r="D9" s="5" t="s">
        <v>52</v>
      </c>
      <c r="E9" s="5" t="str">
        <f t="shared" si="0"/>
        <v>A0907.00_B</v>
      </c>
      <c r="F9" s="5" t="str">
        <f t="shared" si="1"/>
        <v>A0907.00_B</v>
      </c>
      <c r="G9" s="5" t="s">
        <v>608</v>
      </c>
    </row>
    <row r="10" spans="1:7" s="5" customFormat="1" x14ac:dyDescent="0.25">
      <c r="A10" s="5" t="s">
        <v>584</v>
      </c>
      <c r="B10" s="5" t="s">
        <v>585</v>
      </c>
      <c r="C10" s="5" t="s">
        <v>596</v>
      </c>
      <c r="D10" s="5" t="s">
        <v>55</v>
      </c>
      <c r="E10" s="5" t="str">
        <f t="shared" si="0"/>
        <v>B4353.01-G</v>
      </c>
      <c r="F10" s="5" t="str">
        <f t="shared" si="1"/>
        <v>B4353.01_G</v>
      </c>
      <c r="G10" s="5" t="s">
        <v>609</v>
      </c>
    </row>
    <row r="11" spans="1:7" s="5" customFormat="1" x14ac:dyDescent="0.25">
      <c r="A11" s="5" t="s">
        <v>584</v>
      </c>
      <c r="B11" s="5" t="s">
        <v>585</v>
      </c>
      <c r="C11" s="5" t="s">
        <v>596</v>
      </c>
      <c r="D11" s="5" t="s">
        <v>59</v>
      </c>
      <c r="E11" s="5" t="str">
        <f t="shared" si="0"/>
        <v>B4353.01-G</v>
      </c>
      <c r="F11" s="5" t="str">
        <f t="shared" si="1"/>
        <v>B4353.01_G</v>
      </c>
      <c r="G11" s="5" t="s">
        <v>609</v>
      </c>
    </row>
    <row r="12" spans="1:7" s="5" customFormat="1" x14ac:dyDescent="0.25">
      <c r="A12" s="5" t="s">
        <v>584</v>
      </c>
      <c r="B12" s="5" t="s">
        <v>585</v>
      </c>
      <c r="C12" s="5" t="s">
        <v>596</v>
      </c>
      <c r="D12" s="5" t="s">
        <v>586</v>
      </c>
      <c r="E12" s="5" t="str">
        <f t="shared" si="0"/>
        <v>B4353.01</v>
      </c>
      <c r="F12" s="5" t="str">
        <f>CONCATENATE(LEFT(E12,5),".",RIGHT(LEFT(E12,8),2),IF(LEN(E12)&gt;8,CONCATENATE("_",RIGHT(E12,1),""),""))</f>
        <v>B4353.01</v>
      </c>
      <c r="G12" s="5" t="s">
        <v>57</v>
      </c>
    </row>
    <row r="13" spans="1:7" s="5" customFormat="1" x14ac:dyDescent="0.25">
      <c r="A13" s="5" t="s">
        <v>584</v>
      </c>
      <c r="B13" s="5" t="s">
        <v>585</v>
      </c>
      <c r="C13" s="5" t="s">
        <v>596</v>
      </c>
      <c r="D13" s="5" t="s">
        <v>60</v>
      </c>
      <c r="E13" s="5" t="str">
        <f t="shared" si="0"/>
        <v>B4354.01_C</v>
      </c>
      <c r="F13" s="5" t="str">
        <f t="shared" ref="F13:F76" si="2">CONCATENATE(LEFT(E13,5),".",RIGHT(LEFT(E13,8),2),IF(LEN(E13)&gt;8,CONCATENATE("_",RIGHT(E13,1),""),""))</f>
        <v>B4354.01_C</v>
      </c>
      <c r="G13" s="5" t="s">
        <v>610</v>
      </c>
    </row>
    <row r="14" spans="1:7" s="5" customFormat="1" x14ac:dyDescent="0.25">
      <c r="A14" s="5" t="s">
        <v>584</v>
      </c>
      <c r="B14" s="5" t="s">
        <v>585</v>
      </c>
      <c r="C14" s="5" t="s">
        <v>596</v>
      </c>
      <c r="D14" s="5" t="s">
        <v>63</v>
      </c>
      <c r="E14" s="5" t="str">
        <f t="shared" si="0"/>
        <v>B4354.01_C</v>
      </c>
      <c r="F14" s="5" t="str">
        <f t="shared" si="2"/>
        <v>B4354.01_C</v>
      </c>
      <c r="G14" s="5" t="s">
        <v>610</v>
      </c>
    </row>
    <row r="15" spans="1:7" s="5" customFormat="1" x14ac:dyDescent="0.25">
      <c r="A15" s="5" t="s">
        <v>584</v>
      </c>
      <c r="B15" s="5" t="s">
        <v>585</v>
      </c>
      <c r="C15" s="5" t="s">
        <v>596</v>
      </c>
      <c r="D15" s="5" t="s">
        <v>587</v>
      </c>
      <c r="E15" s="5" t="str">
        <f t="shared" si="0"/>
        <v>B4354.01_D</v>
      </c>
      <c r="F15" s="5" t="str">
        <f t="shared" si="2"/>
        <v>B4354.01_D</v>
      </c>
      <c r="G15" s="5" t="s">
        <v>611</v>
      </c>
    </row>
    <row r="16" spans="1:7" s="5" customFormat="1" x14ac:dyDescent="0.25">
      <c r="A16" s="5" t="s">
        <v>584</v>
      </c>
      <c r="B16" s="5" t="s">
        <v>585</v>
      </c>
      <c r="C16" s="5" t="s">
        <v>596</v>
      </c>
      <c r="D16" s="5" t="s">
        <v>64</v>
      </c>
      <c r="E16" s="5" t="str">
        <f t="shared" si="0"/>
        <v>B4355.02-E</v>
      </c>
      <c r="F16" s="5" t="str">
        <f t="shared" si="2"/>
        <v>B4355.02_E</v>
      </c>
      <c r="G16" s="5" t="s">
        <v>612</v>
      </c>
    </row>
    <row r="17" spans="1:7" s="5" customFormat="1" x14ac:dyDescent="0.25">
      <c r="A17" s="5" t="s">
        <v>584</v>
      </c>
      <c r="B17" s="5" t="s">
        <v>585</v>
      </c>
      <c r="C17" s="5" t="s">
        <v>596</v>
      </c>
      <c r="D17" s="5" t="s">
        <v>68</v>
      </c>
      <c r="E17" s="5" t="str">
        <f t="shared" si="0"/>
        <v>B4355.02-E</v>
      </c>
      <c r="F17" s="5" t="str">
        <f t="shared" si="2"/>
        <v>B4355.02_E</v>
      </c>
      <c r="G17" s="5" t="s">
        <v>612</v>
      </c>
    </row>
    <row r="18" spans="1:7" s="5" customFormat="1" x14ac:dyDescent="0.25">
      <c r="A18" s="5" t="s">
        <v>584</v>
      </c>
      <c r="B18" s="5" t="s">
        <v>585</v>
      </c>
      <c r="C18" s="5" t="s">
        <v>596</v>
      </c>
      <c r="D18" s="5" t="s">
        <v>69</v>
      </c>
      <c r="E18" s="5" t="str">
        <f t="shared" si="0"/>
        <v>B4356.03_B</v>
      </c>
      <c r="F18" s="5" t="str">
        <f t="shared" si="2"/>
        <v>B4356.03_B</v>
      </c>
      <c r="G18" s="5" t="s">
        <v>613</v>
      </c>
    </row>
    <row r="19" spans="1:7" s="5" customFormat="1" x14ac:dyDescent="0.25">
      <c r="A19" s="5" t="s">
        <v>584</v>
      </c>
      <c r="B19" s="5" t="s">
        <v>585</v>
      </c>
      <c r="C19" s="5" t="s">
        <v>596</v>
      </c>
      <c r="D19" s="5" t="s">
        <v>72</v>
      </c>
      <c r="E19" s="5" t="str">
        <f t="shared" si="0"/>
        <v>B4356.03_B</v>
      </c>
      <c r="F19" s="5" t="str">
        <f t="shared" si="2"/>
        <v>B4356.03_B</v>
      </c>
      <c r="G19" s="5" t="s">
        <v>613</v>
      </c>
    </row>
    <row r="20" spans="1:7" s="5" customFormat="1" x14ac:dyDescent="0.25">
      <c r="A20" s="5" t="s">
        <v>584</v>
      </c>
      <c r="B20" s="5" t="s">
        <v>585</v>
      </c>
      <c r="C20" s="5" t="s">
        <v>596</v>
      </c>
      <c r="D20" s="5" t="s">
        <v>588</v>
      </c>
      <c r="E20" s="5" t="str">
        <f t="shared" si="0"/>
        <v>B4356.03_D</v>
      </c>
      <c r="F20" s="5" t="str">
        <f t="shared" si="2"/>
        <v>B4356.03_D</v>
      </c>
      <c r="G20" s="5" t="s">
        <v>614</v>
      </c>
    </row>
    <row r="21" spans="1:7" s="5" customFormat="1" x14ac:dyDescent="0.25">
      <c r="A21" s="5" t="s">
        <v>584</v>
      </c>
      <c r="B21" s="5" t="s">
        <v>585</v>
      </c>
      <c r="C21" s="5" t="s">
        <v>596</v>
      </c>
      <c r="D21" s="5" t="s">
        <v>73</v>
      </c>
      <c r="E21" s="5" t="str">
        <f t="shared" si="0"/>
        <v>B4357.02_C</v>
      </c>
      <c r="F21" s="5" t="str">
        <f t="shared" si="2"/>
        <v>B4357.02_C</v>
      </c>
      <c r="G21" s="5" t="s">
        <v>615</v>
      </c>
    </row>
    <row r="22" spans="1:7" s="5" customFormat="1" x14ac:dyDescent="0.25">
      <c r="A22" s="5" t="s">
        <v>584</v>
      </c>
      <c r="B22" s="5" t="s">
        <v>585</v>
      </c>
      <c r="C22" s="5" t="s">
        <v>596</v>
      </c>
      <c r="D22" s="5" t="s">
        <v>76</v>
      </c>
      <c r="E22" s="5" t="str">
        <f t="shared" si="0"/>
        <v>B4357.02_C</v>
      </c>
      <c r="F22" s="5" t="str">
        <f t="shared" si="2"/>
        <v>B4357.02_C</v>
      </c>
      <c r="G22" s="5" t="s">
        <v>615</v>
      </c>
    </row>
    <row r="23" spans="1:7" s="5" customFormat="1" x14ac:dyDescent="0.25">
      <c r="A23" s="5" t="s">
        <v>584</v>
      </c>
      <c r="B23" s="5" t="s">
        <v>585</v>
      </c>
      <c r="C23" s="5" t="s">
        <v>596</v>
      </c>
      <c r="D23" s="5" t="s">
        <v>77</v>
      </c>
      <c r="E23" s="5" t="str">
        <f t="shared" si="0"/>
        <v>B4358.01_A</v>
      </c>
      <c r="F23" s="5" t="str">
        <f t="shared" si="2"/>
        <v>B4358.01_A</v>
      </c>
      <c r="G23" s="5" t="s">
        <v>616</v>
      </c>
    </row>
    <row r="24" spans="1:7" s="5" customFormat="1" x14ac:dyDescent="0.25">
      <c r="A24" s="5" t="s">
        <v>584</v>
      </c>
      <c r="B24" s="5" t="s">
        <v>585</v>
      </c>
      <c r="C24" s="5" t="s">
        <v>596</v>
      </c>
      <c r="D24" s="5" t="s">
        <v>589</v>
      </c>
      <c r="E24" s="5" t="str">
        <f t="shared" si="0"/>
        <v>B4358.01_A</v>
      </c>
      <c r="F24" s="5" t="str">
        <f t="shared" si="2"/>
        <v>B4358.01_A</v>
      </c>
      <c r="G24" s="5" t="s">
        <v>616</v>
      </c>
    </row>
    <row r="25" spans="1:7" s="5" customFormat="1" x14ac:dyDescent="0.25">
      <c r="A25" s="5" t="s">
        <v>584</v>
      </c>
      <c r="B25" s="5" t="s">
        <v>585</v>
      </c>
      <c r="C25" s="5" t="s">
        <v>596</v>
      </c>
      <c r="D25" s="5" t="s">
        <v>80</v>
      </c>
      <c r="E25" s="5" t="str">
        <f t="shared" si="0"/>
        <v>B4359.00_E</v>
      </c>
      <c r="F25" s="5" t="str">
        <f t="shared" si="2"/>
        <v>B4359.00_E</v>
      </c>
      <c r="G25" s="5" t="s">
        <v>617</v>
      </c>
    </row>
    <row r="26" spans="1:7" s="5" customFormat="1" x14ac:dyDescent="0.25">
      <c r="A26" s="5" t="s">
        <v>584</v>
      </c>
      <c r="B26" s="5" t="s">
        <v>585</v>
      </c>
      <c r="C26" s="5" t="s">
        <v>596</v>
      </c>
      <c r="D26" s="5" t="s">
        <v>83</v>
      </c>
      <c r="E26" s="5" t="str">
        <f t="shared" si="0"/>
        <v>B4359.00_E</v>
      </c>
      <c r="F26" s="5" t="str">
        <f t="shared" si="2"/>
        <v>B4359.00_E</v>
      </c>
      <c r="G26" s="5" t="s">
        <v>617</v>
      </c>
    </row>
    <row r="27" spans="1:7" s="5" customFormat="1" x14ac:dyDescent="0.25">
      <c r="A27" s="5" t="s">
        <v>584</v>
      </c>
      <c r="B27" s="5" t="s">
        <v>585</v>
      </c>
      <c r="C27" s="5" t="s">
        <v>596</v>
      </c>
      <c r="D27" s="5" t="s">
        <v>84</v>
      </c>
      <c r="E27" s="5" t="str">
        <f t="shared" si="0"/>
        <v>B4360.00-C</v>
      </c>
      <c r="F27" s="5" t="str">
        <f t="shared" si="2"/>
        <v>B4360.00_C</v>
      </c>
      <c r="G27" s="5" t="s">
        <v>618</v>
      </c>
    </row>
    <row r="28" spans="1:7" s="5" customFormat="1" x14ac:dyDescent="0.25">
      <c r="A28" s="5" t="s">
        <v>584</v>
      </c>
      <c r="B28" s="5" t="s">
        <v>585</v>
      </c>
      <c r="C28" s="5" t="s">
        <v>596</v>
      </c>
      <c r="D28" s="5" t="s">
        <v>87</v>
      </c>
      <c r="E28" s="5" t="str">
        <f t="shared" si="0"/>
        <v>B4360.00-C</v>
      </c>
      <c r="F28" s="5" t="str">
        <f t="shared" si="2"/>
        <v>B4360.00_C</v>
      </c>
      <c r="G28" s="5" t="s">
        <v>618</v>
      </c>
    </row>
    <row r="29" spans="1:7" s="5" customFormat="1" x14ac:dyDescent="0.25">
      <c r="A29" s="5" t="s">
        <v>584</v>
      </c>
      <c r="B29" s="5" t="s">
        <v>585</v>
      </c>
      <c r="C29" s="5" t="s">
        <v>596</v>
      </c>
      <c r="D29" s="5" t="s">
        <v>88</v>
      </c>
      <c r="E29" s="5" t="str">
        <f t="shared" si="0"/>
        <v>B4361.02_E</v>
      </c>
      <c r="F29" s="5" t="str">
        <f t="shared" si="2"/>
        <v>B4361.02_E</v>
      </c>
      <c r="G29" s="5" t="s">
        <v>619</v>
      </c>
    </row>
    <row r="30" spans="1:7" s="5" customFormat="1" x14ac:dyDescent="0.25">
      <c r="A30" s="5" t="s">
        <v>584</v>
      </c>
      <c r="B30" s="5" t="s">
        <v>585</v>
      </c>
      <c r="C30" s="5" t="s">
        <v>596</v>
      </c>
      <c r="D30" s="5" t="s">
        <v>91</v>
      </c>
      <c r="E30" s="5" t="str">
        <f t="shared" si="0"/>
        <v>B4361.02_E</v>
      </c>
      <c r="F30" s="5" t="str">
        <f t="shared" si="2"/>
        <v>B4361.02_E</v>
      </c>
      <c r="G30" s="5" t="s">
        <v>619</v>
      </c>
    </row>
    <row r="31" spans="1:7" s="5" customFormat="1" x14ac:dyDescent="0.25">
      <c r="A31" s="5" t="s">
        <v>584</v>
      </c>
      <c r="B31" s="5" t="s">
        <v>585</v>
      </c>
      <c r="C31" s="5" t="s">
        <v>596</v>
      </c>
      <c r="D31" s="5" t="s">
        <v>92</v>
      </c>
      <c r="E31" s="5" t="str">
        <f t="shared" si="0"/>
        <v>B4362.02</v>
      </c>
      <c r="F31" s="5" t="str">
        <f t="shared" si="2"/>
        <v>B4362.02</v>
      </c>
      <c r="G31" s="5" t="s">
        <v>94</v>
      </c>
    </row>
    <row r="32" spans="1:7" s="5" customFormat="1" x14ac:dyDescent="0.25">
      <c r="A32" s="5" t="s">
        <v>584</v>
      </c>
      <c r="B32" s="5" t="s">
        <v>585</v>
      </c>
      <c r="C32" s="5" t="s">
        <v>596</v>
      </c>
      <c r="D32" s="5" t="s">
        <v>96</v>
      </c>
      <c r="E32" s="5" t="str">
        <f t="shared" si="0"/>
        <v>B4362.04</v>
      </c>
      <c r="F32" s="5" t="str">
        <f t="shared" si="2"/>
        <v>B4362.04</v>
      </c>
      <c r="G32" s="5" t="s">
        <v>98</v>
      </c>
    </row>
    <row r="33" spans="1:7" s="5" customFormat="1" x14ac:dyDescent="0.25">
      <c r="A33" s="5" t="s">
        <v>584</v>
      </c>
      <c r="B33" s="5" t="s">
        <v>585</v>
      </c>
      <c r="C33" s="5" t="s">
        <v>596</v>
      </c>
      <c r="D33" s="5" t="s">
        <v>99</v>
      </c>
      <c r="E33" s="5" t="str">
        <f t="shared" si="0"/>
        <v>B4363.01-A</v>
      </c>
      <c r="F33" s="5" t="str">
        <f t="shared" si="2"/>
        <v>B4363.01_A</v>
      </c>
      <c r="G33" s="5" t="s">
        <v>620</v>
      </c>
    </row>
    <row r="34" spans="1:7" s="5" customFormat="1" x14ac:dyDescent="0.25">
      <c r="A34" s="5" t="s">
        <v>584</v>
      </c>
      <c r="B34" s="5" t="s">
        <v>585</v>
      </c>
      <c r="C34" s="5" t="s">
        <v>596</v>
      </c>
      <c r="D34" s="5" t="s">
        <v>102</v>
      </c>
      <c r="E34" s="5" t="str">
        <f t="shared" ref="E34:E65" si="3">IF(AND(OR(LEFT(RIGHT(D34,LEN(D34)-8),1)="_",LEFT(RIGHT(D34,LEN(D34)-8),1)="-"),OR(LEFT(RIGHT(D34,LEN(D34)-10),1)="_",LEFT(RIGHT(D34,LEN(D34)-10),1)="-")),LEFT(D34,10),LEFT(D34,8))</f>
        <v>B4364.02_C</v>
      </c>
      <c r="F34" s="5" t="str">
        <f t="shared" si="2"/>
        <v>B4364.02_C</v>
      </c>
      <c r="G34" s="5" t="s">
        <v>621</v>
      </c>
    </row>
    <row r="35" spans="1:7" s="5" customFormat="1" x14ac:dyDescent="0.25">
      <c r="A35" s="5" t="s">
        <v>584</v>
      </c>
      <c r="B35" s="5" t="s">
        <v>585</v>
      </c>
      <c r="C35" s="5" t="s">
        <v>596</v>
      </c>
      <c r="D35" s="5" t="s">
        <v>590</v>
      </c>
      <c r="E35" s="5" t="str">
        <f t="shared" si="3"/>
        <v>B4364.02_C</v>
      </c>
      <c r="F35" s="5" t="str">
        <f t="shared" si="2"/>
        <v>B4364.02_C</v>
      </c>
      <c r="G35" s="5" t="s">
        <v>621</v>
      </c>
    </row>
    <row r="36" spans="1:7" s="5" customFormat="1" x14ac:dyDescent="0.25">
      <c r="A36" s="5" t="s">
        <v>584</v>
      </c>
      <c r="B36" s="5" t="s">
        <v>585</v>
      </c>
      <c r="C36" s="5" t="s">
        <v>596</v>
      </c>
      <c r="D36" s="5" t="s">
        <v>105</v>
      </c>
      <c r="E36" s="5" t="str">
        <f t="shared" si="3"/>
        <v>B4364.04</v>
      </c>
      <c r="F36" s="5" t="str">
        <f t="shared" si="2"/>
        <v>B4364.04</v>
      </c>
      <c r="G36" s="5" t="s">
        <v>107</v>
      </c>
    </row>
    <row r="37" spans="1:7" s="5" customFormat="1" x14ac:dyDescent="0.25">
      <c r="A37" s="5" t="s">
        <v>584</v>
      </c>
      <c r="B37" s="5" t="s">
        <v>585</v>
      </c>
      <c r="C37" s="5" t="s">
        <v>596</v>
      </c>
      <c r="D37" s="5" t="s">
        <v>108</v>
      </c>
      <c r="E37" s="5" t="str">
        <f t="shared" si="3"/>
        <v>B4366.00-C</v>
      </c>
      <c r="F37" s="5" t="str">
        <f t="shared" si="2"/>
        <v>B4366.00_C</v>
      </c>
      <c r="G37" s="5" t="s">
        <v>622</v>
      </c>
    </row>
    <row r="38" spans="1:7" s="5" customFormat="1" x14ac:dyDescent="0.25">
      <c r="A38" s="5" t="s">
        <v>584</v>
      </c>
      <c r="B38" s="5" t="s">
        <v>585</v>
      </c>
      <c r="C38" s="5" t="s">
        <v>596</v>
      </c>
      <c r="D38" s="5" t="s">
        <v>111</v>
      </c>
      <c r="E38" s="5" t="str">
        <f t="shared" si="3"/>
        <v>B4366.00-C</v>
      </c>
      <c r="F38" s="5" t="str">
        <f t="shared" si="2"/>
        <v>B4366.00_C</v>
      </c>
      <c r="G38" s="5" t="s">
        <v>622</v>
      </c>
    </row>
    <row r="39" spans="1:7" s="5" customFormat="1" x14ac:dyDescent="0.25">
      <c r="A39" s="5" t="s">
        <v>584</v>
      </c>
      <c r="B39" s="5" t="s">
        <v>585</v>
      </c>
      <c r="C39" s="5" t="s">
        <v>596</v>
      </c>
      <c r="D39" s="5" t="s">
        <v>112</v>
      </c>
      <c r="E39" s="5" t="str">
        <f t="shared" si="3"/>
        <v>B4366.02_A</v>
      </c>
      <c r="F39" s="5" t="str">
        <f t="shared" si="2"/>
        <v>B4366.02_A</v>
      </c>
      <c r="G39" s="5" t="s">
        <v>623</v>
      </c>
    </row>
    <row r="40" spans="1:7" s="5" customFormat="1" x14ac:dyDescent="0.25">
      <c r="A40" s="5" t="s">
        <v>584</v>
      </c>
      <c r="B40" s="5" t="s">
        <v>585</v>
      </c>
      <c r="C40" s="5" t="s">
        <v>596</v>
      </c>
      <c r="D40" s="5" t="s">
        <v>115</v>
      </c>
      <c r="E40" s="5" t="str">
        <f t="shared" si="3"/>
        <v>B4367.00_C</v>
      </c>
      <c r="F40" s="5" t="str">
        <f t="shared" si="2"/>
        <v>B4367.00_C</v>
      </c>
      <c r="G40" s="5" t="s">
        <v>624</v>
      </c>
    </row>
    <row r="41" spans="1:7" s="5" customFormat="1" x14ac:dyDescent="0.25">
      <c r="A41" s="5" t="s">
        <v>584</v>
      </c>
      <c r="B41" s="5" t="s">
        <v>585</v>
      </c>
      <c r="C41" s="5" t="s">
        <v>596</v>
      </c>
      <c r="D41" s="5" t="s">
        <v>118</v>
      </c>
      <c r="E41" s="5" t="str">
        <f t="shared" si="3"/>
        <v>B4367.00_C</v>
      </c>
      <c r="F41" s="5" t="str">
        <f t="shared" si="2"/>
        <v>B4367.00_C</v>
      </c>
      <c r="G41" s="5" t="s">
        <v>624</v>
      </c>
    </row>
    <row r="42" spans="1:7" s="5" customFormat="1" x14ac:dyDescent="0.25">
      <c r="A42" s="5" t="s">
        <v>584</v>
      </c>
      <c r="B42" s="5" t="s">
        <v>585</v>
      </c>
      <c r="C42" s="5" t="s">
        <v>596</v>
      </c>
      <c r="D42" s="5" t="s">
        <v>119</v>
      </c>
      <c r="E42" s="5" t="str">
        <f t="shared" si="3"/>
        <v>B4369.03_C</v>
      </c>
      <c r="F42" s="5" t="str">
        <f t="shared" si="2"/>
        <v>B4369.03_C</v>
      </c>
      <c r="G42" s="5" t="s">
        <v>625</v>
      </c>
    </row>
    <row r="43" spans="1:7" s="5" customFormat="1" x14ac:dyDescent="0.25">
      <c r="A43" s="5" t="s">
        <v>584</v>
      </c>
      <c r="B43" s="5" t="s">
        <v>585</v>
      </c>
      <c r="C43" s="5" t="s">
        <v>596</v>
      </c>
      <c r="D43" s="5" t="s">
        <v>122</v>
      </c>
      <c r="E43" s="5" t="str">
        <f t="shared" si="3"/>
        <v>B4373.01_B</v>
      </c>
      <c r="F43" s="5" t="str">
        <f t="shared" si="2"/>
        <v>B4373.01_B</v>
      </c>
      <c r="G43" s="5" t="s">
        <v>626</v>
      </c>
    </row>
    <row r="44" spans="1:7" s="5" customFormat="1" x14ac:dyDescent="0.25">
      <c r="A44" s="5" t="s">
        <v>584</v>
      </c>
      <c r="B44" s="5" t="s">
        <v>585</v>
      </c>
      <c r="C44" s="5" t="s">
        <v>596</v>
      </c>
      <c r="D44" s="5" t="s">
        <v>125</v>
      </c>
      <c r="E44" s="5" t="str">
        <f t="shared" si="3"/>
        <v>B4373.01_B</v>
      </c>
      <c r="F44" s="5" t="str">
        <f t="shared" si="2"/>
        <v>B4373.01_B</v>
      </c>
      <c r="G44" s="5" t="s">
        <v>626</v>
      </c>
    </row>
    <row r="45" spans="1:7" s="5" customFormat="1" x14ac:dyDescent="0.25">
      <c r="A45" s="5" t="s">
        <v>584</v>
      </c>
      <c r="B45" s="5" t="s">
        <v>585</v>
      </c>
      <c r="C45" s="5" t="s">
        <v>596</v>
      </c>
      <c r="D45" s="5" t="s">
        <v>126</v>
      </c>
      <c r="E45" s="5" t="str">
        <f t="shared" si="3"/>
        <v>B4374.00_F</v>
      </c>
      <c r="F45" s="5" t="str">
        <f t="shared" si="2"/>
        <v>B4374.00_F</v>
      </c>
      <c r="G45" s="5" t="s">
        <v>627</v>
      </c>
    </row>
    <row r="46" spans="1:7" s="5" customFormat="1" x14ac:dyDescent="0.25">
      <c r="A46" s="5" t="s">
        <v>584</v>
      </c>
      <c r="B46" s="5" t="s">
        <v>585</v>
      </c>
      <c r="C46" s="5" t="s">
        <v>596</v>
      </c>
      <c r="D46" s="5" t="s">
        <v>130</v>
      </c>
      <c r="E46" s="5" t="str">
        <f t="shared" si="3"/>
        <v>B4374.00_F</v>
      </c>
      <c r="F46" s="5" t="str">
        <f t="shared" si="2"/>
        <v>B4374.00_F</v>
      </c>
      <c r="G46" s="5" t="s">
        <v>627</v>
      </c>
    </row>
    <row r="47" spans="1:7" s="5" customFormat="1" x14ac:dyDescent="0.25">
      <c r="A47" s="5" t="s">
        <v>584</v>
      </c>
      <c r="B47" s="5" t="s">
        <v>585</v>
      </c>
      <c r="C47" s="5" t="s">
        <v>596</v>
      </c>
      <c r="D47" s="5" t="s">
        <v>131</v>
      </c>
      <c r="E47" s="5" t="str">
        <f t="shared" si="3"/>
        <v>B4375.00_D</v>
      </c>
      <c r="F47" s="5" t="str">
        <f t="shared" si="2"/>
        <v>B4375.00_D</v>
      </c>
      <c r="G47" s="5" t="s">
        <v>628</v>
      </c>
    </row>
    <row r="48" spans="1:7" s="5" customFormat="1" x14ac:dyDescent="0.25">
      <c r="A48" s="5" t="s">
        <v>584</v>
      </c>
      <c r="B48" s="5" t="s">
        <v>585</v>
      </c>
      <c r="C48" s="5" t="s">
        <v>596</v>
      </c>
      <c r="D48" s="5" t="s">
        <v>135</v>
      </c>
      <c r="E48" s="5" t="str">
        <f t="shared" si="3"/>
        <v>B4375.00_D</v>
      </c>
      <c r="F48" s="5" t="str">
        <f t="shared" si="2"/>
        <v>B4375.00_D</v>
      </c>
      <c r="G48" s="5" t="s">
        <v>628</v>
      </c>
    </row>
    <row r="49" spans="1:7" s="5" customFormat="1" x14ac:dyDescent="0.25">
      <c r="A49" s="5" t="s">
        <v>584</v>
      </c>
      <c r="B49" s="5" t="s">
        <v>585</v>
      </c>
      <c r="C49" s="5" t="s">
        <v>596</v>
      </c>
      <c r="D49" s="5" t="s">
        <v>136</v>
      </c>
      <c r="E49" s="5" t="str">
        <f t="shared" si="3"/>
        <v>B4375.01_A</v>
      </c>
      <c r="F49" s="5" t="str">
        <f t="shared" si="2"/>
        <v>B4375.01_A</v>
      </c>
      <c r="G49" s="5" t="s">
        <v>629</v>
      </c>
    </row>
    <row r="50" spans="1:7" s="5" customFormat="1" x14ac:dyDescent="0.25">
      <c r="A50" s="5" t="s">
        <v>584</v>
      </c>
      <c r="B50" s="5" t="s">
        <v>585</v>
      </c>
      <c r="C50" s="5" t="s">
        <v>596</v>
      </c>
      <c r="D50" s="5" t="s">
        <v>139</v>
      </c>
      <c r="E50" s="5" t="str">
        <f t="shared" si="3"/>
        <v>B5264.00_B</v>
      </c>
      <c r="F50" s="5" t="str">
        <f t="shared" si="2"/>
        <v>B5264.00_B</v>
      </c>
      <c r="G50" s="5" t="s">
        <v>630</v>
      </c>
    </row>
    <row r="51" spans="1:7" s="5" customFormat="1" x14ac:dyDescent="0.25">
      <c r="A51" s="5" t="s">
        <v>584</v>
      </c>
      <c r="B51" s="5" t="s">
        <v>585</v>
      </c>
      <c r="C51" s="5" t="s">
        <v>596</v>
      </c>
      <c r="D51" s="5" t="s">
        <v>142</v>
      </c>
      <c r="E51" s="5" t="str">
        <f t="shared" si="3"/>
        <v>B5265.00_B</v>
      </c>
      <c r="F51" s="5" t="str">
        <f t="shared" si="2"/>
        <v>B5265.00_B</v>
      </c>
      <c r="G51" s="5" t="s">
        <v>631</v>
      </c>
    </row>
    <row r="52" spans="1:7" s="5" customFormat="1" x14ac:dyDescent="0.25">
      <c r="A52" s="5" t="s">
        <v>584</v>
      </c>
      <c r="B52" s="5" t="s">
        <v>585</v>
      </c>
      <c r="C52" s="5" t="s">
        <v>596</v>
      </c>
      <c r="D52" s="5" t="s">
        <v>145</v>
      </c>
      <c r="E52" s="5" t="str">
        <f t="shared" si="3"/>
        <v>B5475.00_A</v>
      </c>
      <c r="F52" s="5" t="str">
        <f t="shared" si="2"/>
        <v>B5475.00_A</v>
      </c>
      <c r="G52" s="5" t="s">
        <v>632</v>
      </c>
    </row>
    <row r="53" spans="1:7" s="5" customFormat="1" x14ac:dyDescent="0.25">
      <c r="A53" s="5" t="s">
        <v>584</v>
      </c>
      <c r="B53" s="5" t="s">
        <v>585</v>
      </c>
      <c r="C53" s="5" t="s">
        <v>596</v>
      </c>
      <c r="D53" s="5" t="s">
        <v>148</v>
      </c>
      <c r="E53" s="5" t="str">
        <f t="shared" si="3"/>
        <v>B5478.00_A</v>
      </c>
      <c r="F53" s="5" t="str">
        <f t="shared" si="2"/>
        <v>B5478.00_A</v>
      </c>
      <c r="G53" s="5" t="s">
        <v>633</v>
      </c>
    </row>
    <row r="54" spans="1:7" s="5" customFormat="1" x14ac:dyDescent="0.25">
      <c r="A54" s="5" t="s">
        <v>584</v>
      </c>
      <c r="B54" s="5" t="s">
        <v>585</v>
      </c>
      <c r="C54" s="5" t="s">
        <v>596</v>
      </c>
      <c r="D54" s="5" t="s">
        <v>151</v>
      </c>
      <c r="E54" s="5" t="str">
        <f t="shared" si="3"/>
        <v>B5481.00_A</v>
      </c>
      <c r="F54" s="5" t="str">
        <f t="shared" si="2"/>
        <v>B5481.00_A</v>
      </c>
      <c r="G54" s="5" t="s">
        <v>634</v>
      </c>
    </row>
    <row r="55" spans="1:7" s="5" customFormat="1" x14ac:dyDescent="0.25">
      <c r="A55" s="5" t="s">
        <v>584</v>
      </c>
      <c r="B55" s="5" t="s">
        <v>585</v>
      </c>
      <c r="C55" s="5" t="s">
        <v>596</v>
      </c>
      <c r="D55" s="5" t="s">
        <v>154</v>
      </c>
      <c r="E55" s="5" t="str">
        <f t="shared" si="3"/>
        <v>B5767.03</v>
      </c>
      <c r="F55" s="5" t="str">
        <f t="shared" si="2"/>
        <v>B5767.03</v>
      </c>
      <c r="G55" s="5" t="s">
        <v>156</v>
      </c>
    </row>
    <row r="56" spans="1:7" s="5" customFormat="1" x14ac:dyDescent="0.25">
      <c r="A56" s="5" t="s">
        <v>584</v>
      </c>
      <c r="B56" s="5" t="s">
        <v>585</v>
      </c>
      <c r="C56" s="5" t="s">
        <v>596</v>
      </c>
      <c r="D56" s="5" t="s">
        <v>157</v>
      </c>
      <c r="E56" s="5" t="str">
        <f t="shared" si="3"/>
        <v>B5768.02</v>
      </c>
      <c r="F56" s="5" t="str">
        <f t="shared" si="2"/>
        <v>B5768.02</v>
      </c>
      <c r="G56" s="5" t="s">
        <v>159</v>
      </c>
    </row>
    <row r="57" spans="1:7" s="5" customFormat="1" x14ac:dyDescent="0.25">
      <c r="A57" s="5" t="s">
        <v>584</v>
      </c>
      <c r="B57" s="5" t="s">
        <v>585</v>
      </c>
      <c r="C57" s="5" t="s">
        <v>596</v>
      </c>
      <c r="D57" s="5" t="s">
        <v>160</v>
      </c>
      <c r="E57" s="5" t="str">
        <f t="shared" si="3"/>
        <v>B5769.02-B</v>
      </c>
      <c r="F57" s="5" t="str">
        <f t="shared" si="2"/>
        <v>B5769.02_B</v>
      </c>
      <c r="G57" s="5" t="s">
        <v>635</v>
      </c>
    </row>
    <row r="58" spans="1:7" s="5" customFormat="1" x14ac:dyDescent="0.25">
      <c r="A58" s="5" t="s">
        <v>584</v>
      </c>
      <c r="B58" s="5" t="s">
        <v>585</v>
      </c>
      <c r="C58" s="5" t="s">
        <v>596</v>
      </c>
      <c r="D58" s="5" t="s">
        <v>163</v>
      </c>
      <c r="E58" s="5" t="str">
        <f t="shared" si="3"/>
        <v>B5770.02_A</v>
      </c>
      <c r="F58" s="5" t="str">
        <f t="shared" si="2"/>
        <v>B5770.02_A</v>
      </c>
      <c r="G58" s="5" t="s">
        <v>636</v>
      </c>
    </row>
    <row r="59" spans="1:7" s="5" customFormat="1" x14ac:dyDescent="0.25">
      <c r="A59" s="5" t="s">
        <v>584</v>
      </c>
      <c r="B59" s="5" t="s">
        <v>585</v>
      </c>
      <c r="C59" s="5" t="s">
        <v>596</v>
      </c>
      <c r="D59" s="5" t="s">
        <v>166</v>
      </c>
      <c r="E59" s="5" t="str">
        <f t="shared" si="3"/>
        <v>B5771.01_A</v>
      </c>
      <c r="F59" s="5" t="str">
        <f t="shared" si="2"/>
        <v>B5771.01_A</v>
      </c>
      <c r="G59" s="5" t="s">
        <v>637</v>
      </c>
    </row>
    <row r="60" spans="1:7" s="5" customFormat="1" x14ac:dyDescent="0.25">
      <c r="A60" s="5" t="s">
        <v>584</v>
      </c>
      <c r="B60" s="5" t="s">
        <v>585</v>
      </c>
      <c r="C60" s="5" t="s">
        <v>596</v>
      </c>
      <c r="D60" s="5" t="s">
        <v>169</v>
      </c>
      <c r="E60" s="5" t="str">
        <f t="shared" si="3"/>
        <v>B5772.01_A</v>
      </c>
      <c r="F60" s="5" t="str">
        <f t="shared" si="2"/>
        <v>B5772.01_A</v>
      </c>
      <c r="G60" s="5" t="s">
        <v>638</v>
      </c>
    </row>
    <row r="61" spans="1:7" s="5" customFormat="1" x14ac:dyDescent="0.25">
      <c r="A61" s="5" t="s">
        <v>584</v>
      </c>
      <c r="B61" s="5" t="s">
        <v>585</v>
      </c>
      <c r="C61" s="5" t="s">
        <v>596</v>
      </c>
      <c r="D61" s="5" t="s">
        <v>172</v>
      </c>
      <c r="E61" s="5" t="str">
        <f t="shared" si="3"/>
        <v>B5773.00_A</v>
      </c>
      <c r="F61" s="5" t="str">
        <f t="shared" si="2"/>
        <v>B5773.00_A</v>
      </c>
      <c r="G61" s="5" t="s">
        <v>639</v>
      </c>
    </row>
    <row r="62" spans="1:7" s="5" customFormat="1" x14ac:dyDescent="0.25">
      <c r="A62" s="5" t="s">
        <v>584</v>
      </c>
      <c r="B62" s="5" t="s">
        <v>585</v>
      </c>
      <c r="C62" s="5" t="s">
        <v>596</v>
      </c>
      <c r="D62" s="5" t="s">
        <v>175</v>
      </c>
      <c r="E62" s="5" t="str">
        <f t="shared" si="3"/>
        <v>B5773.01</v>
      </c>
      <c r="F62" s="5" t="str">
        <f t="shared" si="2"/>
        <v>B5773.01</v>
      </c>
      <c r="G62" s="5" t="s">
        <v>177</v>
      </c>
    </row>
    <row r="63" spans="1:7" s="5" customFormat="1" x14ac:dyDescent="0.25">
      <c r="A63" s="5" t="s">
        <v>584</v>
      </c>
      <c r="B63" s="5" t="s">
        <v>585</v>
      </c>
      <c r="C63" s="5" t="s">
        <v>596</v>
      </c>
      <c r="D63" s="5" t="s">
        <v>178</v>
      </c>
      <c r="E63" s="5" t="str">
        <f t="shared" si="3"/>
        <v>B5774.00_A</v>
      </c>
      <c r="F63" s="5" t="str">
        <f t="shared" si="2"/>
        <v>B5774.00_A</v>
      </c>
      <c r="G63" s="5" t="s">
        <v>640</v>
      </c>
    </row>
    <row r="64" spans="1:7" s="5" customFormat="1" x14ac:dyDescent="0.25">
      <c r="A64" s="5" t="s">
        <v>584</v>
      </c>
      <c r="B64" s="5" t="s">
        <v>585</v>
      </c>
      <c r="C64" s="5" t="s">
        <v>596</v>
      </c>
      <c r="D64" s="5" t="s">
        <v>181</v>
      </c>
      <c r="E64" s="5" t="str">
        <f t="shared" si="3"/>
        <v>B5774.02</v>
      </c>
      <c r="F64" s="5" t="str">
        <f t="shared" si="2"/>
        <v>B5774.02</v>
      </c>
      <c r="G64" s="5" t="s">
        <v>183</v>
      </c>
    </row>
    <row r="65" spans="1:7" s="5" customFormat="1" x14ac:dyDescent="0.25">
      <c r="A65" s="5" t="s">
        <v>584</v>
      </c>
      <c r="B65" s="5" t="s">
        <v>585</v>
      </c>
      <c r="C65" s="5" t="s">
        <v>596</v>
      </c>
      <c r="D65" s="5" t="s">
        <v>184</v>
      </c>
      <c r="E65" s="5" t="str">
        <f t="shared" si="3"/>
        <v>B5775.03_A</v>
      </c>
      <c r="F65" s="5" t="str">
        <f t="shared" si="2"/>
        <v>B5775.03_A</v>
      </c>
      <c r="G65" s="5" t="s">
        <v>641</v>
      </c>
    </row>
    <row r="66" spans="1:7" s="5" customFormat="1" x14ac:dyDescent="0.25">
      <c r="A66" s="5" t="s">
        <v>584</v>
      </c>
      <c r="B66" s="5" t="s">
        <v>585</v>
      </c>
      <c r="C66" s="5" t="s">
        <v>596</v>
      </c>
      <c r="D66" s="5" t="s">
        <v>187</v>
      </c>
      <c r="E66" s="5" t="str">
        <f t="shared" ref="E66:E97" si="4">IF(AND(OR(LEFT(RIGHT(D66,LEN(D66)-8),1)="_",LEFT(RIGHT(D66,LEN(D66)-8),1)="-"),OR(LEFT(RIGHT(D66,LEN(D66)-10),1)="_",LEFT(RIGHT(D66,LEN(D66)-10),1)="-")),LEFT(D66,10),LEFT(D66,8))</f>
        <v>B5779.00-D</v>
      </c>
      <c r="F66" s="5" t="str">
        <f t="shared" si="2"/>
        <v>B5779.00_D</v>
      </c>
      <c r="G66" s="5" t="s">
        <v>642</v>
      </c>
    </row>
    <row r="67" spans="1:7" s="5" customFormat="1" x14ac:dyDescent="0.25">
      <c r="A67" s="5" t="s">
        <v>584</v>
      </c>
      <c r="B67" s="5" t="s">
        <v>585</v>
      </c>
      <c r="C67" s="5" t="s">
        <v>596</v>
      </c>
      <c r="D67" s="5" t="s">
        <v>190</v>
      </c>
      <c r="E67" s="5" t="str">
        <f t="shared" si="4"/>
        <v>B5780.00-B</v>
      </c>
      <c r="F67" s="5" t="str">
        <f t="shared" si="2"/>
        <v>B5780.00_B</v>
      </c>
      <c r="G67" s="5" t="s">
        <v>643</v>
      </c>
    </row>
    <row r="68" spans="1:7" s="5" customFormat="1" x14ac:dyDescent="0.25">
      <c r="A68" s="5" t="s">
        <v>584</v>
      </c>
      <c r="B68" s="5" t="s">
        <v>585</v>
      </c>
      <c r="C68" s="5" t="s">
        <v>596</v>
      </c>
      <c r="D68" s="5" t="s">
        <v>193</v>
      </c>
      <c r="E68" s="5" t="str">
        <f t="shared" si="4"/>
        <v>B5784.00-D</v>
      </c>
      <c r="F68" s="5" t="str">
        <f t="shared" si="2"/>
        <v>B5784.00_D</v>
      </c>
      <c r="G68" s="5" t="s">
        <v>644</v>
      </c>
    </row>
    <row r="69" spans="1:7" s="5" customFormat="1" x14ac:dyDescent="0.25">
      <c r="A69" s="5" t="s">
        <v>584</v>
      </c>
      <c r="B69" s="5" t="s">
        <v>585</v>
      </c>
      <c r="C69" s="5" t="s">
        <v>596</v>
      </c>
      <c r="D69" s="5" t="s">
        <v>196</v>
      </c>
      <c r="E69" s="5" t="str">
        <f t="shared" si="4"/>
        <v>B5829.01_B</v>
      </c>
      <c r="F69" s="5" t="str">
        <f t="shared" si="2"/>
        <v>B5829.01_B</v>
      </c>
      <c r="G69" s="5" t="s">
        <v>645</v>
      </c>
    </row>
    <row r="70" spans="1:7" s="5" customFormat="1" x14ac:dyDescent="0.25">
      <c r="A70" s="5" t="s">
        <v>584</v>
      </c>
      <c r="B70" s="5" t="s">
        <v>585</v>
      </c>
      <c r="C70" s="5" t="s">
        <v>596</v>
      </c>
      <c r="D70" s="5" t="s">
        <v>199</v>
      </c>
      <c r="E70" s="5" t="str">
        <f t="shared" si="4"/>
        <v>B5847.00_A</v>
      </c>
      <c r="F70" s="5" t="str">
        <f t="shared" si="2"/>
        <v>B5847.00_A</v>
      </c>
      <c r="G70" s="5" t="s">
        <v>646</v>
      </c>
    </row>
    <row r="71" spans="1:7" s="5" customFormat="1" x14ac:dyDescent="0.25">
      <c r="A71" s="5" t="s">
        <v>584</v>
      </c>
      <c r="B71" s="5" t="s">
        <v>585</v>
      </c>
      <c r="C71" s="5" t="s">
        <v>596</v>
      </c>
      <c r="D71" s="5" t="s">
        <v>202</v>
      </c>
      <c r="E71" s="5" t="str">
        <f t="shared" si="4"/>
        <v>B5904.03_A</v>
      </c>
      <c r="F71" s="5" t="str">
        <f t="shared" si="2"/>
        <v>B5904.03_A</v>
      </c>
      <c r="G71" s="5" t="s">
        <v>647</v>
      </c>
    </row>
    <row r="72" spans="1:7" s="5" customFormat="1" x14ac:dyDescent="0.25">
      <c r="A72" s="5" t="s">
        <v>584</v>
      </c>
      <c r="B72" s="5" t="s">
        <v>585</v>
      </c>
      <c r="C72" s="5" t="s">
        <v>596</v>
      </c>
      <c r="D72" s="5" t="s">
        <v>205</v>
      </c>
      <c r="E72" s="5" t="str">
        <f t="shared" si="4"/>
        <v>B5905.00_B</v>
      </c>
      <c r="F72" s="5" t="str">
        <f t="shared" si="2"/>
        <v>B5905.00_B</v>
      </c>
      <c r="G72" s="5" t="s">
        <v>648</v>
      </c>
    </row>
    <row r="73" spans="1:7" s="5" customFormat="1" x14ac:dyDescent="0.25">
      <c r="A73" s="5" t="s">
        <v>584</v>
      </c>
      <c r="B73" s="5" t="s">
        <v>585</v>
      </c>
      <c r="C73" s="5" t="s">
        <v>596</v>
      </c>
      <c r="D73" s="5" t="s">
        <v>208</v>
      </c>
      <c r="E73" s="5" t="str">
        <f t="shared" si="4"/>
        <v>B5906.00_B</v>
      </c>
      <c r="F73" s="5" t="str">
        <f t="shared" si="2"/>
        <v>B5906.00_B</v>
      </c>
      <c r="G73" s="5" t="s">
        <v>649</v>
      </c>
    </row>
    <row r="74" spans="1:7" s="5" customFormat="1" x14ac:dyDescent="0.25">
      <c r="A74" s="5" t="s">
        <v>584</v>
      </c>
      <c r="B74" s="5" t="s">
        <v>585</v>
      </c>
      <c r="C74" s="5" t="s">
        <v>596</v>
      </c>
      <c r="D74" s="5" t="s">
        <v>211</v>
      </c>
      <c r="E74" s="5" t="str">
        <f t="shared" si="4"/>
        <v>B5907.00_C</v>
      </c>
      <c r="F74" s="5" t="str">
        <f t="shared" si="2"/>
        <v>B5907.00_C</v>
      </c>
      <c r="G74" s="5" t="s">
        <v>650</v>
      </c>
    </row>
    <row r="75" spans="1:7" s="5" customFormat="1" x14ac:dyDescent="0.25">
      <c r="A75" s="5" t="s">
        <v>584</v>
      </c>
      <c r="B75" s="5" t="s">
        <v>585</v>
      </c>
      <c r="C75" s="5" t="s">
        <v>596</v>
      </c>
      <c r="D75" s="5" t="s">
        <v>214</v>
      </c>
      <c r="E75" s="5" t="str">
        <f t="shared" si="4"/>
        <v>B5929.01_C</v>
      </c>
      <c r="F75" s="5" t="str">
        <f t="shared" si="2"/>
        <v>B5929.01_C</v>
      </c>
      <c r="G75" s="5" t="s">
        <v>651</v>
      </c>
    </row>
    <row r="76" spans="1:7" s="5" customFormat="1" x14ac:dyDescent="0.25">
      <c r="A76" s="5" t="s">
        <v>584</v>
      </c>
      <c r="B76" s="5" t="s">
        <v>585</v>
      </c>
      <c r="C76" s="5" t="s">
        <v>596</v>
      </c>
      <c r="D76" s="5" t="s">
        <v>217</v>
      </c>
      <c r="E76" s="5" t="str">
        <f t="shared" si="4"/>
        <v>B5929.01_C</v>
      </c>
      <c r="F76" s="5" t="str">
        <f t="shared" si="2"/>
        <v>B5929.01_C</v>
      </c>
      <c r="G76" s="5" t="s">
        <v>651</v>
      </c>
    </row>
    <row r="77" spans="1:7" s="5" customFormat="1" x14ac:dyDescent="0.25">
      <c r="A77" s="5" t="s">
        <v>584</v>
      </c>
      <c r="B77" s="5" t="s">
        <v>585</v>
      </c>
      <c r="C77" s="5" t="s">
        <v>596</v>
      </c>
      <c r="D77" s="5" t="s">
        <v>218</v>
      </c>
      <c r="E77" s="5" t="str">
        <f t="shared" si="4"/>
        <v>B5930.01-B</v>
      </c>
      <c r="F77" s="5" t="str">
        <f t="shared" ref="F77:F140" si="5">CONCATENATE(LEFT(E77,5),".",RIGHT(LEFT(E77,8),2),IF(LEN(E77)&gt;8,CONCATENATE("_",RIGHT(E77,1),""),""))</f>
        <v>B5930.01_B</v>
      </c>
      <c r="G77" s="5" t="s">
        <v>652</v>
      </c>
    </row>
    <row r="78" spans="1:7" s="5" customFormat="1" x14ac:dyDescent="0.25">
      <c r="A78" s="5" t="s">
        <v>584</v>
      </c>
      <c r="B78" s="5" t="s">
        <v>585</v>
      </c>
      <c r="C78" s="5" t="s">
        <v>596</v>
      </c>
      <c r="D78" s="5" t="s">
        <v>221</v>
      </c>
      <c r="E78" s="5" t="str">
        <f t="shared" si="4"/>
        <v>B6025.00_A</v>
      </c>
      <c r="F78" s="5" t="str">
        <f t="shared" si="5"/>
        <v>B6025.00_A</v>
      </c>
      <c r="G78" s="5" t="s">
        <v>653</v>
      </c>
    </row>
    <row r="79" spans="1:7" s="5" customFormat="1" x14ac:dyDescent="0.25">
      <c r="A79" s="5" t="s">
        <v>584</v>
      </c>
      <c r="B79" s="5" t="s">
        <v>585</v>
      </c>
      <c r="C79" s="5" t="s">
        <v>596</v>
      </c>
      <c r="D79" s="5" t="s">
        <v>224</v>
      </c>
      <c r="E79" s="5" t="str">
        <f t="shared" si="4"/>
        <v>D3955.00</v>
      </c>
      <c r="F79" s="5" t="str">
        <f t="shared" si="5"/>
        <v>D3955.00</v>
      </c>
      <c r="G79" s="5" t="s">
        <v>226</v>
      </c>
    </row>
    <row r="80" spans="1:7" s="5" customFormat="1" x14ac:dyDescent="0.25">
      <c r="A80" s="5" t="s">
        <v>584</v>
      </c>
      <c r="B80" s="5" t="s">
        <v>585</v>
      </c>
      <c r="C80" s="5" t="s">
        <v>596</v>
      </c>
      <c r="D80" s="5" t="s">
        <v>227</v>
      </c>
      <c r="E80" s="5" t="str">
        <f t="shared" si="4"/>
        <v>D4183.02_A</v>
      </c>
      <c r="F80" s="5" t="str">
        <f t="shared" si="5"/>
        <v>D4183.02_A</v>
      </c>
      <c r="G80" s="5" t="s">
        <v>654</v>
      </c>
    </row>
    <row r="81" spans="1:7" s="5" customFormat="1" x14ac:dyDescent="0.25">
      <c r="A81" s="5" t="s">
        <v>584</v>
      </c>
      <c r="B81" s="5" t="s">
        <v>585</v>
      </c>
      <c r="C81" s="5" t="s">
        <v>596</v>
      </c>
      <c r="D81" s="5" t="s">
        <v>230</v>
      </c>
      <c r="E81" s="5" t="str">
        <f t="shared" si="4"/>
        <v>D4553.00_A</v>
      </c>
      <c r="F81" s="5" t="str">
        <f t="shared" si="5"/>
        <v>D4553.00_A</v>
      </c>
      <c r="G81" s="5" t="s">
        <v>655</v>
      </c>
    </row>
    <row r="82" spans="1:7" s="5" customFormat="1" x14ac:dyDescent="0.25">
      <c r="A82" s="5" t="s">
        <v>584</v>
      </c>
      <c r="B82" s="5" t="s">
        <v>585</v>
      </c>
      <c r="C82" s="5" t="s">
        <v>596</v>
      </c>
      <c r="D82" s="5" t="s">
        <v>233</v>
      </c>
      <c r="E82" s="5" t="str">
        <f t="shared" si="4"/>
        <v>D5044.00_A</v>
      </c>
      <c r="F82" s="5" t="str">
        <f t="shared" si="5"/>
        <v>D5044.00_A</v>
      </c>
      <c r="G82" s="5" t="s">
        <v>656</v>
      </c>
    </row>
    <row r="83" spans="1:7" s="5" customFormat="1" x14ac:dyDescent="0.25">
      <c r="A83" s="5" t="s">
        <v>584</v>
      </c>
      <c r="B83" s="5" t="s">
        <v>585</v>
      </c>
      <c r="C83" s="5" t="s">
        <v>596</v>
      </c>
      <c r="D83" s="5" t="s">
        <v>236</v>
      </c>
      <c r="E83" s="5" t="str">
        <f t="shared" si="4"/>
        <v>D5061.00_A</v>
      </c>
      <c r="F83" s="5" t="str">
        <f t="shared" si="5"/>
        <v>D5061.00_A</v>
      </c>
      <c r="G83" s="5" t="s">
        <v>657</v>
      </c>
    </row>
    <row r="84" spans="1:7" s="5" customFormat="1" x14ac:dyDescent="0.25">
      <c r="A84" s="5" t="s">
        <v>584</v>
      </c>
      <c r="B84" s="5" t="s">
        <v>585</v>
      </c>
      <c r="C84" s="5" t="s">
        <v>596</v>
      </c>
      <c r="D84" s="5" t="s">
        <v>239</v>
      </c>
      <c r="E84" s="5" t="str">
        <f t="shared" si="4"/>
        <v>D5785.05_A</v>
      </c>
      <c r="F84" s="5" t="str">
        <f t="shared" si="5"/>
        <v>D5785.05_A</v>
      </c>
      <c r="G84" s="5" t="s">
        <v>658</v>
      </c>
    </row>
    <row r="85" spans="1:7" s="5" customFormat="1" x14ac:dyDescent="0.25">
      <c r="A85" s="5" t="s">
        <v>584</v>
      </c>
      <c r="B85" s="5" t="s">
        <v>585</v>
      </c>
      <c r="C85" s="5" t="s">
        <v>596</v>
      </c>
      <c r="D85" s="5" t="s">
        <v>242</v>
      </c>
      <c r="E85" s="5" t="str">
        <f t="shared" si="4"/>
        <v>D5804.00_A</v>
      </c>
      <c r="F85" s="5" t="str">
        <f t="shared" si="5"/>
        <v>D5804.00_A</v>
      </c>
      <c r="G85" s="5" t="s">
        <v>659</v>
      </c>
    </row>
    <row r="86" spans="1:7" s="5" customFormat="1" x14ac:dyDescent="0.25">
      <c r="A86" s="5" t="s">
        <v>584</v>
      </c>
      <c r="B86" s="5" t="s">
        <v>585</v>
      </c>
      <c r="C86" s="5" t="s">
        <v>596</v>
      </c>
      <c r="D86" s="5" t="s">
        <v>245</v>
      </c>
      <c r="E86" s="5" t="str">
        <f t="shared" si="4"/>
        <v>D5805.00_A</v>
      </c>
      <c r="F86" s="5" t="str">
        <f t="shared" si="5"/>
        <v>D5805.00_A</v>
      </c>
      <c r="G86" s="5" t="s">
        <v>660</v>
      </c>
    </row>
    <row r="87" spans="1:7" s="5" customFormat="1" x14ac:dyDescent="0.25">
      <c r="A87" s="5" t="s">
        <v>584</v>
      </c>
      <c r="B87" s="5" t="s">
        <v>585</v>
      </c>
      <c r="C87" s="5" t="s">
        <v>596</v>
      </c>
      <c r="D87" s="5" t="s">
        <v>248</v>
      </c>
      <c r="E87" s="5" t="str">
        <f t="shared" si="4"/>
        <v>Molla_ch</v>
      </c>
      <c r="F87" s="5" t="str">
        <f t="shared" si="5"/>
        <v>Molla.ch</v>
      </c>
      <c r="G87" s="5" t="s">
        <v>671</v>
      </c>
    </row>
    <row r="88" spans="1:7" s="5" customFormat="1" x14ac:dyDescent="0.25">
      <c r="A88" s="5" t="s">
        <v>584</v>
      </c>
      <c r="B88" s="5" t="s">
        <v>585</v>
      </c>
      <c r="C88" s="5" t="s">
        <v>596</v>
      </c>
      <c r="D88" s="5" t="s">
        <v>250</v>
      </c>
      <c r="E88" s="5" t="str">
        <f t="shared" si="4"/>
        <v>PRODUCT1</v>
      </c>
      <c r="F88" s="5" t="str">
        <f t="shared" si="5"/>
        <v>PRODU.T1</v>
      </c>
      <c r="G88" s="5" t="s">
        <v>672</v>
      </c>
    </row>
    <row r="89" spans="1:7" s="5" customFormat="1" x14ac:dyDescent="0.25">
      <c r="A89" s="5" t="s">
        <v>584</v>
      </c>
      <c r="B89" s="5" t="s">
        <v>585</v>
      </c>
      <c r="C89" s="5" t="s">
        <v>596</v>
      </c>
      <c r="D89" s="5" t="s">
        <v>252</v>
      </c>
      <c r="E89" s="5" t="str">
        <f t="shared" si="4"/>
        <v>RPS-POIN</v>
      </c>
      <c r="F89" s="5" t="str">
        <f t="shared" si="5"/>
        <v>RPS-P.IN</v>
      </c>
      <c r="G89" s="5" t="s">
        <v>673</v>
      </c>
    </row>
    <row r="90" spans="1:7" s="5" customFormat="1" x14ac:dyDescent="0.25">
      <c r="A90" s="5" t="s">
        <v>584</v>
      </c>
      <c r="B90" s="5" t="s">
        <v>585</v>
      </c>
      <c r="C90" s="5" t="s">
        <v>596</v>
      </c>
      <c r="D90" s="5" t="s">
        <v>254</v>
      </c>
      <c r="E90" s="5" t="str">
        <f t="shared" si="4"/>
        <v>SCTR CHI</v>
      </c>
      <c r="F90" s="5" t="str">
        <f t="shared" si="5"/>
        <v>SCTR .HI</v>
      </c>
      <c r="G90" s="5" t="s">
        <v>674</v>
      </c>
    </row>
    <row r="91" spans="1:7" s="5" customFormat="1" x14ac:dyDescent="0.25">
      <c r="A91" s="5" t="s">
        <v>584</v>
      </c>
      <c r="B91" s="5" t="s">
        <v>585</v>
      </c>
      <c r="C91" s="5" t="s">
        <v>596</v>
      </c>
      <c r="D91" s="5" t="s">
        <v>256</v>
      </c>
      <c r="E91" s="5" t="str">
        <f t="shared" si="4"/>
        <v>TAVOLA C</v>
      </c>
      <c r="F91" s="5" t="str">
        <f t="shared" si="5"/>
        <v>TAVOL. C</v>
      </c>
      <c r="G91" s="5" t="s">
        <v>675</v>
      </c>
    </row>
    <row r="92" spans="1:7" s="5" customFormat="1" x14ac:dyDescent="0.25">
      <c r="A92" s="5" t="s">
        <v>584</v>
      </c>
      <c r="B92" s="5" t="s">
        <v>585</v>
      </c>
      <c r="C92" s="5" t="s">
        <v>597</v>
      </c>
      <c r="D92" s="5" t="s">
        <v>258</v>
      </c>
      <c r="E92" s="5" t="str">
        <f t="shared" si="4"/>
        <v>8W0_823_</v>
      </c>
      <c r="F92" s="5" t="str">
        <f t="shared" si="5"/>
        <v>8W0_8.3_</v>
      </c>
      <c r="G92" s="5" t="s">
        <v>676</v>
      </c>
    </row>
    <row r="93" spans="1:7" s="5" customFormat="1" x14ac:dyDescent="0.25">
      <c r="A93" s="5" t="s">
        <v>584</v>
      </c>
      <c r="B93" s="5" t="s">
        <v>585</v>
      </c>
      <c r="C93" s="5" t="s">
        <v>597</v>
      </c>
      <c r="D93" s="5" t="s">
        <v>31</v>
      </c>
      <c r="E93" s="5" t="str">
        <f t="shared" si="4"/>
        <v>95B.823.</v>
      </c>
      <c r="F93" s="5" t="str">
        <f t="shared" si="5"/>
        <v>95B.8.3.</v>
      </c>
      <c r="G93" s="5" t="s">
        <v>677</v>
      </c>
    </row>
    <row r="94" spans="1:7" s="5" customFormat="1" x14ac:dyDescent="0.25">
      <c r="A94" s="5" t="s">
        <v>584</v>
      </c>
      <c r="B94" s="5" t="s">
        <v>585</v>
      </c>
      <c r="C94" s="5" t="s">
        <v>597</v>
      </c>
      <c r="D94" s="5" t="s">
        <v>34</v>
      </c>
      <c r="E94" s="5" t="str">
        <f t="shared" si="4"/>
        <v>95B.823.</v>
      </c>
      <c r="F94" s="5" t="str">
        <f t="shared" si="5"/>
        <v>95B.8.3.</v>
      </c>
      <c r="G94" s="5" t="s">
        <v>678</v>
      </c>
    </row>
    <row r="95" spans="1:7" s="5" customFormat="1" x14ac:dyDescent="0.25">
      <c r="A95" s="5" t="s">
        <v>584</v>
      </c>
      <c r="B95" s="5" t="s">
        <v>585</v>
      </c>
      <c r="C95" s="5" t="s">
        <v>597</v>
      </c>
      <c r="D95" s="5" t="s">
        <v>36</v>
      </c>
      <c r="E95" s="5" t="str">
        <f t="shared" si="4"/>
        <v>A0845.00_C</v>
      </c>
      <c r="F95" s="5" t="str">
        <f t="shared" si="5"/>
        <v>A0845.00_C</v>
      </c>
      <c r="G95" s="5" t="s">
        <v>604</v>
      </c>
    </row>
    <row r="96" spans="1:7" s="5" customFormat="1" x14ac:dyDescent="0.25">
      <c r="A96" s="5" t="s">
        <v>584</v>
      </c>
      <c r="B96" s="5" t="s">
        <v>585</v>
      </c>
      <c r="C96" s="5" t="s">
        <v>597</v>
      </c>
      <c r="D96" s="5" t="s">
        <v>41</v>
      </c>
      <c r="E96" s="5" t="str">
        <f t="shared" si="4"/>
        <v>A0846.00_A</v>
      </c>
      <c r="F96" s="5" t="str">
        <f t="shared" si="5"/>
        <v>A0846.00_A</v>
      </c>
      <c r="G96" s="5" t="s">
        <v>605</v>
      </c>
    </row>
    <row r="97" spans="1:7" s="5" customFormat="1" x14ac:dyDescent="0.25">
      <c r="A97" s="5" t="s">
        <v>584</v>
      </c>
      <c r="B97" s="5" t="s">
        <v>585</v>
      </c>
      <c r="C97" s="5" t="s">
        <v>597</v>
      </c>
      <c r="D97" s="5" t="s">
        <v>45</v>
      </c>
      <c r="E97" s="5" t="str">
        <f t="shared" si="4"/>
        <v>A0854.00_B</v>
      </c>
      <c r="F97" s="5" t="str">
        <f t="shared" si="5"/>
        <v>A0854.00_B</v>
      </c>
      <c r="G97" s="5" t="s">
        <v>606</v>
      </c>
    </row>
    <row r="98" spans="1:7" s="5" customFormat="1" x14ac:dyDescent="0.25">
      <c r="A98" s="5" t="s">
        <v>584</v>
      </c>
      <c r="B98" s="5" t="s">
        <v>585</v>
      </c>
      <c r="C98" s="5" t="s">
        <v>597</v>
      </c>
      <c r="D98" s="5" t="s">
        <v>49</v>
      </c>
      <c r="E98" s="5" t="str">
        <f t="shared" ref="E98:E129" si="6">IF(AND(OR(LEFT(RIGHT(D98,LEN(D98)-8),1)="_",LEFT(RIGHT(D98,LEN(D98)-8),1)="-"),OR(LEFT(RIGHT(D98,LEN(D98)-10),1)="_",LEFT(RIGHT(D98,LEN(D98)-10),1)="-")),LEFT(D98,10),LEFT(D98,8))</f>
        <v>A0903.00_B</v>
      </c>
      <c r="F98" s="5" t="str">
        <f t="shared" si="5"/>
        <v>A0903.00_B</v>
      </c>
      <c r="G98" s="5" t="s">
        <v>607</v>
      </c>
    </row>
    <row r="99" spans="1:7" s="5" customFormat="1" x14ac:dyDescent="0.25">
      <c r="A99" s="5" t="s">
        <v>584</v>
      </c>
      <c r="B99" s="5" t="s">
        <v>585</v>
      </c>
      <c r="C99" s="5" t="s">
        <v>597</v>
      </c>
      <c r="D99" s="5" t="s">
        <v>52</v>
      </c>
      <c r="E99" s="5" t="str">
        <f t="shared" si="6"/>
        <v>A0907.00_B</v>
      </c>
      <c r="F99" s="5" t="str">
        <f t="shared" si="5"/>
        <v>A0907.00_B</v>
      </c>
      <c r="G99" s="5" t="s">
        <v>608</v>
      </c>
    </row>
    <row r="100" spans="1:7" s="5" customFormat="1" x14ac:dyDescent="0.25">
      <c r="A100" s="5" t="s">
        <v>584</v>
      </c>
      <c r="B100" s="5" t="s">
        <v>585</v>
      </c>
      <c r="C100" s="5" t="s">
        <v>597</v>
      </c>
      <c r="D100" s="5" t="s">
        <v>55</v>
      </c>
      <c r="E100" s="5" t="str">
        <f t="shared" si="6"/>
        <v>B4353.01-G</v>
      </c>
      <c r="F100" s="5" t="str">
        <f t="shared" si="5"/>
        <v>B4353.01_G</v>
      </c>
      <c r="G100" s="5" t="s">
        <v>609</v>
      </c>
    </row>
    <row r="101" spans="1:7" s="5" customFormat="1" x14ac:dyDescent="0.25">
      <c r="A101" s="5" t="s">
        <v>584</v>
      </c>
      <c r="B101" s="5" t="s">
        <v>585</v>
      </c>
      <c r="C101" s="5" t="s">
        <v>597</v>
      </c>
      <c r="D101" s="5" t="s">
        <v>59</v>
      </c>
      <c r="E101" s="5" t="str">
        <f t="shared" si="6"/>
        <v>B4353.01-G</v>
      </c>
      <c r="F101" s="5" t="str">
        <f t="shared" si="5"/>
        <v>B4353.01_G</v>
      </c>
      <c r="G101" s="5" t="s">
        <v>609</v>
      </c>
    </row>
    <row r="102" spans="1:7" s="5" customFormat="1" x14ac:dyDescent="0.25">
      <c r="A102" s="5" t="s">
        <v>584</v>
      </c>
      <c r="B102" s="5" t="s">
        <v>585</v>
      </c>
      <c r="C102" s="5" t="s">
        <v>597</v>
      </c>
      <c r="D102" s="5" t="s">
        <v>586</v>
      </c>
      <c r="E102" s="5" t="str">
        <f t="shared" si="6"/>
        <v>B4353.01</v>
      </c>
      <c r="F102" s="5" t="str">
        <f t="shared" si="5"/>
        <v>B4353.01</v>
      </c>
      <c r="G102" s="5" t="s">
        <v>57</v>
      </c>
    </row>
    <row r="103" spans="1:7" s="5" customFormat="1" x14ac:dyDescent="0.25">
      <c r="A103" s="5" t="s">
        <v>584</v>
      </c>
      <c r="B103" s="5" t="s">
        <v>585</v>
      </c>
      <c r="C103" s="5" t="s">
        <v>597</v>
      </c>
      <c r="D103" s="5" t="s">
        <v>60</v>
      </c>
      <c r="E103" s="5" t="str">
        <f t="shared" si="6"/>
        <v>B4354.01_C</v>
      </c>
      <c r="F103" s="5" t="str">
        <f t="shared" si="5"/>
        <v>B4354.01_C</v>
      </c>
      <c r="G103" s="5" t="s">
        <v>610</v>
      </c>
    </row>
    <row r="104" spans="1:7" s="5" customFormat="1" x14ac:dyDescent="0.25">
      <c r="A104" s="5" t="s">
        <v>584</v>
      </c>
      <c r="B104" s="5" t="s">
        <v>585</v>
      </c>
      <c r="C104" s="5" t="s">
        <v>597</v>
      </c>
      <c r="D104" s="5" t="s">
        <v>63</v>
      </c>
      <c r="E104" s="5" t="str">
        <f t="shared" si="6"/>
        <v>B4354.01_C</v>
      </c>
      <c r="F104" s="5" t="str">
        <f t="shared" si="5"/>
        <v>B4354.01_C</v>
      </c>
      <c r="G104" s="5" t="s">
        <v>610</v>
      </c>
    </row>
    <row r="105" spans="1:7" s="5" customFormat="1" x14ac:dyDescent="0.25">
      <c r="A105" s="5" t="s">
        <v>584</v>
      </c>
      <c r="B105" s="5" t="s">
        <v>585</v>
      </c>
      <c r="C105" s="5" t="s">
        <v>597</v>
      </c>
      <c r="D105" s="5" t="s">
        <v>587</v>
      </c>
      <c r="E105" s="5" t="str">
        <f t="shared" si="6"/>
        <v>B4354.01_D</v>
      </c>
      <c r="F105" s="5" t="str">
        <f t="shared" si="5"/>
        <v>B4354.01_D</v>
      </c>
      <c r="G105" s="5" t="s">
        <v>611</v>
      </c>
    </row>
    <row r="106" spans="1:7" s="5" customFormat="1" x14ac:dyDescent="0.25">
      <c r="A106" s="5" t="s">
        <v>584</v>
      </c>
      <c r="B106" s="5" t="s">
        <v>585</v>
      </c>
      <c r="C106" s="5" t="s">
        <v>597</v>
      </c>
      <c r="D106" s="5" t="s">
        <v>64</v>
      </c>
      <c r="E106" s="5" t="str">
        <f t="shared" si="6"/>
        <v>B4355.02-E</v>
      </c>
      <c r="F106" s="5" t="str">
        <f t="shared" si="5"/>
        <v>B4355.02_E</v>
      </c>
      <c r="G106" s="5" t="s">
        <v>612</v>
      </c>
    </row>
    <row r="107" spans="1:7" s="5" customFormat="1" x14ac:dyDescent="0.25">
      <c r="A107" s="5" t="s">
        <v>584</v>
      </c>
      <c r="B107" s="5" t="s">
        <v>585</v>
      </c>
      <c r="C107" s="5" t="s">
        <v>597</v>
      </c>
      <c r="D107" s="5" t="s">
        <v>68</v>
      </c>
      <c r="E107" s="5" t="str">
        <f t="shared" si="6"/>
        <v>B4355.02-E</v>
      </c>
      <c r="F107" s="5" t="str">
        <f t="shared" si="5"/>
        <v>B4355.02_E</v>
      </c>
      <c r="G107" s="5" t="s">
        <v>612</v>
      </c>
    </row>
    <row r="108" spans="1:7" s="5" customFormat="1" x14ac:dyDescent="0.25">
      <c r="A108" s="5" t="s">
        <v>584</v>
      </c>
      <c r="B108" s="5" t="s">
        <v>585</v>
      </c>
      <c r="C108" s="5" t="s">
        <v>597</v>
      </c>
      <c r="D108" s="5" t="s">
        <v>69</v>
      </c>
      <c r="E108" s="5" t="str">
        <f t="shared" si="6"/>
        <v>B4356.03_B</v>
      </c>
      <c r="F108" s="5" t="str">
        <f t="shared" si="5"/>
        <v>B4356.03_B</v>
      </c>
      <c r="G108" s="5" t="s">
        <v>613</v>
      </c>
    </row>
    <row r="109" spans="1:7" s="5" customFormat="1" x14ac:dyDescent="0.25">
      <c r="A109" s="5" t="s">
        <v>584</v>
      </c>
      <c r="B109" s="5" t="s">
        <v>585</v>
      </c>
      <c r="C109" s="5" t="s">
        <v>597</v>
      </c>
      <c r="D109" s="5" t="s">
        <v>72</v>
      </c>
      <c r="E109" s="5" t="str">
        <f t="shared" si="6"/>
        <v>B4356.03_B</v>
      </c>
      <c r="F109" s="5" t="str">
        <f t="shared" si="5"/>
        <v>B4356.03_B</v>
      </c>
      <c r="G109" s="5" t="s">
        <v>613</v>
      </c>
    </row>
    <row r="110" spans="1:7" s="5" customFormat="1" x14ac:dyDescent="0.25">
      <c r="A110" s="5" t="s">
        <v>584</v>
      </c>
      <c r="B110" s="5" t="s">
        <v>585</v>
      </c>
      <c r="C110" s="5" t="s">
        <v>597</v>
      </c>
      <c r="D110" s="5" t="s">
        <v>588</v>
      </c>
      <c r="E110" s="5" t="str">
        <f t="shared" si="6"/>
        <v>B4356.03_D</v>
      </c>
      <c r="F110" s="5" t="str">
        <f t="shared" si="5"/>
        <v>B4356.03_D</v>
      </c>
      <c r="G110" s="5" t="s">
        <v>614</v>
      </c>
    </row>
    <row r="111" spans="1:7" s="5" customFormat="1" x14ac:dyDescent="0.25">
      <c r="A111" s="5" t="s">
        <v>584</v>
      </c>
      <c r="B111" s="5" t="s">
        <v>585</v>
      </c>
      <c r="C111" s="5" t="s">
        <v>597</v>
      </c>
      <c r="D111" s="5" t="s">
        <v>73</v>
      </c>
      <c r="E111" s="5" t="str">
        <f t="shared" si="6"/>
        <v>B4357.02_C</v>
      </c>
      <c r="F111" s="5" t="str">
        <f t="shared" si="5"/>
        <v>B4357.02_C</v>
      </c>
      <c r="G111" s="5" t="s">
        <v>615</v>
      </c>
    </row>
    <row r="112" spans="1:7" s="5" customFormat="1" x14ac:dyDescent="0.25">
      <c r="A112" s="5" t="s">
        <v>584</v>
      </c>
      <c r="B112" s="5" t="s">
        <v>585</v>
      </c>
      <c r="C112" s="5" t="s">
        <v>597</v>
      </c>
      <c r="D112" s="5" t="s">
        <v>76</v>
      </c>
      <c r="E112" s="5" t="str">
        <f t="shared" si="6"/>
        <v>B4357.02_C</v>
      </c>
      <c r="F112" s="5" t="str">
        <f t="shared" si="5"/>
        <v>B4357.02_C</v>
      </c>
      <c r="G112" s="5" t="s">
        <v>615</v>
      </c>
    </row>
    <row r="113" spans="1:7" s="5" customFormat="1" x14ac:dyDescent="0.25">
      <c r="A113" s="5" t="s">
        <v>584</v>
      </c>
      <c r="B113" s="5" t="s">
        <v>585</v>
      </c>
      <c r="C113" s="5" t="s">
        <v>597</v>
      </c>
      <c r="D113" s="5" t="s">
        <v>77</v>
      </c>
      <c r="E113" s="5" t="str">
        <f t="shared" si="6"/>
        <v>B4358.01_A</v>
      </c>
      <c r="F113" s="5" t="str">
        <f t="shared" si="5"/>
        <v>B4358.01_A</v>
      </c>
      <c r="G113" s="5" t="s">
        <v>616</v>
      </c>
    </row>
    <row r="114" spans="1:7" s="5" customFormat="1" x14ac:dyDescent="0.25">
      <c r="A114" s="5" t="s">
        <v>584</v>
      </c>
      <c r="B114" s="5" t="s">
        <v>585</v>
      </c>
      <c r="C114" s="5" t="s">
        <v>597</v>
      </c>
      <c r="D114" s="5" t="s">
        <v>589</v>
      </c>
      <c r="E114" s="5" t="str">
        <f t="shared" si="6"/>
        <v>B4358.01_A</v>
      </c>
      <c r="F114" s="5" t="str">
        <f t="shared" si="5"/>
        <v>B4358.01_A</v>
      </c>
      <c r="G114" s="5" t="s">
        <v>616</v>
      </c>
    </row>
    <row r="115" spans="1:7" s="5" customFormat="1" x14ac:dyDescent="0.25">
      <c r="A115" s="5" t="s">
        <v>584</v>
      </c>
      <c r="B115" s="5" t="s">
        <v>585</v>
      </c>
      <c r="C115" s="5" t="s">
        <v>597</v>
      </c>
      <c r="D115" s="5" t="s">
        <v>80</v>
      </c>
      <c r="E115" s="5" t="str">
        <f t="shared" si="6"/>
        <v>B4359.00_E</v>
      </c>
      <c r="F115" s="5" t="str">
        <f t="shared" si="5"/>
        <v>B4359.00_E</v>
      </c>
      <c r="G115" s="5" t="s">
        <v>617</v>
      </c>
    </row>
    <row r="116" spans="1:7" s="5" customFormat="1" x14ac:dyDescent="0.25">
      <c r="A116" s="5" t="s">
        <v>584</v>
      </c>
      <c r="B116" s="5" t="s">
        <v>585</v>
      </c>
      <c r="C116" s="5" t="s">
        <v>597</v>
      </c>
      <c r="D116" s="5" t="s">
        <v>83</v>
      </c>
      <c r="E116" s="5" t="str">
        <f t="shared" si="6"/>
        <v>B4359.00_E</v>
      </c>
      <c r="F116" s="5" t="str">
        <f t="shared" si="5"/>
        <v>B4359.00_E</v>
      </c>
      <c r="G116" s="5" t="s">
        <v>617</v>
      </c>
    </row>
    <row r="117" spans="1:7" s="5" customFormat="1" x14ac:dyDescent="0.25">
      <c r="A117" s="5" t="s">
        <v>584</v>
      </c>
      <c r="B117" s="5" t="s">
        <v>585</v>
      </c>
      <c r="C117" s="5" t="s">
        <v>597</v>
      </c>
      <c r="D117" s="5" t="s">
        <v>84</v>
      </c>
      <c r="E117" s="5" t="str">
        <f t="shared" si="6"/>
        <v>B4360.00-C</v>
      </c>
      <c r="F117" s="5" t="str">
        <f t="shared" si="5"/>
        <v>B4360.00_C</v>
      </c>
      <c r="G117" s="5" t="s">
        <v>618</v>
      </c>
    </row>
    <row r="118" spans="1:7" s="5" customFormat="1" x14ac:dyDescent="0.25">
      <c r="A118" s="5" t="s">
        <v>584</v>
      </c>
      <c r="B118" s="5" t="s">
        <v>585</v>
      </c>
      <c r="C118" s="5" t="s">
        <v>597</v>
      </c>
      <c r="D118" s="5" t="s">
        <v>87</v>
      </c>
      <c r="E118" s="5" t="str">
        <f t="shared" si="6"/>
        <v>B4360.00-C</v>
      </c>
      <c r="F118" s="5" t="str">
        <f t="shared" si="5"/>
        <v>B4360.00_C</v>
      </c>
      <c r="G118" s="5" t="s">
        <v>618</v>
      </c>
    </row>
    <row r="119" spans="1:7" s="5" customFormat="1" x14ac:dyDescent="0.25">
      <c r="A119" s="5" t="s">
        <v>584</v>
      </c>
      <c r="B119" s="5" t="s">
        <v>585</v>
      </c>
      <c r="C119" s="5" t="s">
        <v>597</v>
      </c>
      <c r="D119" s="5" t="s">
        <v>88</v>
      </c>
      <c r="E119" s="5" t="str">
        <f t="shared" si="6"/>
        <v>B4361.02_E</v>
      </c>
      <c r="F119" s="5" t="str">
        <f t="shared" si="5"/>
        <v>B4361.02_E</v>
      </c>
      <c r="G119" s="5" t="s">
        <v>619</v>
      </c>
    </row>
    <row r="120" spans="1:7" s="5" customFormat="1" x14ac:dyDescent="0.25">
      <c r="A120" s="5" t="s">
        <v>584</v>
      </c>
      <c r="B120" s="5" t="s">
        <v>585</v>
      </c>
      <c r="C120" s="5" t="s">
        <v>597</v>
      </c>
      <c r="D120" s="5" t="s">
        <v>91</v>
      </c>
      <c r="E120" s="5" t="str">
        <f t="shared" si="6"/>
        <v>B4361.02_E</v>
      </c>
      <c r="F120" s="5" t="str">
        <f t="shared" si="5"/>
        <v>B4361.02_E</v>
      </c>
      <c r="G120" s="5" t="s">
        <v>619</v>
      </c>
    </row>
    <row r="121" spans="1:7" s="5" customFormat="1" x14ac:dyDescent="0.25">
      <c r="A121" s="5" t="s">
        <v>584</v>
      </c>
      <c r="B121" s="5" t="s">
        <v>585</v>
      </c>
      <c r="C121" s="5" t="s">
        <v>597</v>
      </c>
      <c r="D121" s="5" t="s">
        <v>92</v>
      </c>
      <c r="E121" s="5" t="str">
        <f t="shared" si="6"/>
        <v>B4362.02</v>
      </c>
      <c r="F121" s="5" t="str">
        <f t="shared" si="5"/>
        <v>B4362.02</v>
      </c>
      <c r="G121" s="5" t="s">
        <v>94</v>
      </c>
    </row>
    <row r="122" spans="1:7" s="5" customFormat="1" x14ac:dyDescent="0.25">
      <c r="A122" s="5" t="s">
        <v>584</v>
      </c>
      <c r="B122" s="5" t="s">
        <v>585</v>
      </c>
      <c r="C122" s="5" t="s">
        <v>597</v>
      </c>
      <c r="D122" s="5" t="s">
        <v>96</v>
      </c>
      <c r="E122" s="5" t="str">
        <f t="shared" si="6"/>
        <v>B4362.04</v>
      </c>
      <c r="F122" s="5" t="str">
        <f t="shared" si="5"/>
        <v>B4362.04</v>
      </c>
      <c r="G122" s="5" t="s">
        <v>98</v>
      </c>
    </row>
    <row r="123" spans="1:7" s="5" customFormat="1" x14ac:dyDescent="0.25">
      <c r="A123" s="5" t="s">
        <v>584</v>
      </c>
      <c r="B123" s="5" t="s">
        <v>585</v>
      </c>
      <c r="C123" s="5" t="s">
        <v>597</v>
      </c>
      <c r="D123" s="5" t="s">
        <v>99</v>
      </c>
      <c r="E123" s="5" t="str">
        <f t="shared" si="6"/>
        <v>B4363.01-A</v>
      </c>
      <c r="F123" s="5" t="str">
        <f t="shared" si="5"/>
        <v>B4363.01_A</v>
      </c>
      <c r="G123" s="5" t="s">
        <v>620</v>
      </c>
    </row>
    <row r="124" spans="1:7" s="5" customFormat="1" x14ac:dyDescent="0.25">
      <c r="A124" s="5" t="s">
        <v>584</v>
      </c>
      <c r="B124" s="5" t="s">
        <v>585</v>
      </c>
      <c r="C124" s="5" t="s">
        <v>597</v>
      </c>
      <c r="D124" s="5" t="s">
        <v>102</v>
      </c>
      <c r="E124" s="5" t="str">
        <f t="shared" si="6"/>
        <v>B4364.02_C</v>
      </c>
      <c r="F124" s="5" t="str">
        <f t="shared" si="5"/>
        <v>B4364.02_C</v>
      </c>
      <c r="G124" s="5" t="s">
        <v>621</v>
      </c>
    </row>
    <row r="125" spans="1:7" s="5" customFormat="1" x14ac:dyDescent="0.25">
      <c r="A125" s="5" t="s">
        <v>584</v>
      </c>
      <c r="B125" s="5" t="s">
        <v>585</v>
      </c>
      <c r="C125" s="5" t="s">
        <v>597</v>
      </c>
      <c r="D125" s="5" t="s">
        <v>590</v>
      </c>
      <c r="E125" s="5" t="str">
        <f t="shared" si="6"/>
        <v>B4364.02_C</v>
      </c>
      <c r="F125" s="5" t="str">
        <f t="shared" si="5"/>
        <v>B4364.02_C</v>
      </c>
      <c r="G125" s="5" t="s">
        <v>621</v>
      </c>
    </row>
    <row r="126" spans="1:7" s="5" customFormat="1" x14ac:dyDescent="0.25">
      <c r="A126" s="5" t="s">
        <v>584</v>
      </c>
      <c r="B126" s="5" t="s">
        <v>585</v>
      </c>
      <c r="C126" s="5" t="s">
        <v>597</v>
      </c>
      <c r="D126" s="5" t="s">
        <v>105</v>
      </c>
      <c r="E126" s="5" t="str">
        <f t="shared" si="6"/>
        <v>B4364.04</v>
      </c>
      <c r="F126" s="5" t="str">
        <f t="shared" si="5"/>
        <v>B4364.04</v>
      </c>
      <c r="G126" s="5" t="s">
        <v>107</v>
      </c>
    </row>
    <row r="127" spans="1:7" s="5" customFormat="1" x14ac:dyDescent="0.25">
      <c r="A127" s="5" t="s">
        <v>584</v>
      </c>
      <c r="B127" s="5" t="s">
        <v>585</v>
      </c>
      <c r="C127" s="5" t="s">
        <v>597</v>
      </c>
      <c r="D127" s="5" t="s">
        <v>108</v>
      </c>
      <c r="E127" s="5" t="str">
        <f t="shared" si="6"/>
        <v>B4366.00-C</v>
      </c>
      <c r="F127" s="5" t="str">
        <f t="shared" si="5"/>
        <v>B4366.00_C</v>
      </c>
      <c r="G127" s="5" t="s">
        <v>622</v>
      </c>
    </row>
    <row r="128" spans="1:7" s="5" customFormat="1" x14ac:dyDescent="0.25">
      <c r="A128" s="5" t="s">
        <v>584</v>
      </c>
      <c r="B128" s="5" t="s">
        <v>585</v>
      </c>
      <c r="C128" s="5" t="s">
        <v>597</v>
      </c>
      <c r="D128" s="5" t="s">
        <v>111</v>
      </c>
      <c r="E128" s="5" t="str">
        <f t="shared" si="6"/>
        <v>B4366.00-C</v>
      </c>
      <c r="F128" s="5" t="str">
        <f t="shared" si="5"/>
        <v>B4366.00_C</v>
      </c>
      <c r="G128" s="5" t="s">
        <v>622</v>
      </c>
    </row>
    <row r="129" spans="1:7" s="5" customFormat="1" x14ac:dyDescent="0.25">
      <c r="A129" s="5" t="s">
        <v>584</v>
      </c>
      <c r="B129" s="5" t="s">
        <v>585</v>
      </c>
      <c r="C129" s="5" t="s">
        <v>597</v>
      </c>
      <c r="D129" s="5" t="s">
        <v>112</v>
      </c>
      <c r="E129" s="5" t="str">
        <f t="shared" si="6"/>
        <v>B4366.02_A</v>
      </c>
      <c r="F129" s="5" t="str">
        <f t="shared" si="5"/>
        <v>B4366.02_A</v>
      </c>
      <c r="G129" s="5" t="s">
        <v>623</v>
      </c>
    </row>
    <row r="130" spans="1:7" s="5" customFormat="1" x14ac:dyDescent="0.25">
      <c r="A130" s="5" t="s">
        <v>584</v>
      </c>
      <c r="B130" s="5" t="s">
        <v>585</v>
      </c>
      <c r="C130" s="5" t="s">
        <v>597</v>
      </c>
      <c r="D130" s="5" t="s">
        <v>115</v>
      </c>
      <c r="E130" s="5" t="str">
        <f t="shared" ref="E130:E161" si="7">IF(AND(OR(LEFT(RIGHT(D130,LEN(D130)-8),1)="_",LEFT(RIGHT(D130,LEN(D130)-8),1)="-"),OR(LEFT(RIGHT(D130,LEN(D130)-10),1)="_",LEFT(RIGHT(D130,LEN(D130)-10),1)="-")),LEFT(D130,10),LEFT(D130,8))</f>
        <v>B4367.00_C</v>
      </c>
      <c r="F130" s="5" t="str">
        <f t="shared" si="5"/>
        <v>B4367.00_C</v>
      </c>
      <c r="G130" s="5" t="s">
        <v>624</v>
      </c>
    </row>
    <row r="131" spans="1:7" s="5" customFormat="1" x14ac:dyDescent="0.25">
      <c r="A131" s="5" t="s">
        <v>584</v>
      </c>
      <c r="B131" s="5" t="s">
        <v>585</v>
      </c>
      <c r="C131" s="5" t="s">
        <v>597</v>
      </c>
      <c r="D131" s="5" t="s">
        <v>118</v>
      </c>
      <c r="E131" s="5" t="str">
        <f t="shared" si="7"/>
        <v>B4367.00_C</v>
      </c>
      <c r="F131" s="5" t="str">
        <f t="shared" si="5"/>
        <v>B4367.00_C</v>
      </c>
      <c r="G131" s="5" t="s">
        <v>624</v>
      </c>
    </row>
    <row r="132" spans="1:7" s="5" customFormat="1" x14ac:dyDescent="0.25">
      <c r="A132" s="5" t="s">
        <v>584</v>
      </c>
      <c r="B132" s="5" t="s">
        <v>585</v>
      </c>
      <c r="C132" s="5" t="s">
        <v>597</v>
      </c>
      <c r="D132" s="5" t="s">
        <v>119</v>
      </c>
      <c r="E132" s="5" t="str">
        <f t="shared" si="7"/>
        <v>B4369.03_C</v>
      </c>
      <c r="F132" s="5" t="str">
        <f t="shared" si="5"/>
        <v>B4369.03_C</v>
      </c>
      <c r="G132" s="5" t="s">
        <v>625</v>
      </c>
    </row>
    <row r="133" spans="1:7" s="5" customFormat="1" x14ac:dyDescent="0.25">
      <c r="A133" s="5" t="s">
        <v>584</v>
      </c>
      <c r="B133" s="5" t="s">
        <v>585</v>
      </c>
      <c r="C133" s="5" t="s">
        <v>597</v>
      </c>
      <c r="D133" s="5" t="s">
        <v>122</v>
      </c>
      <c r="E133" s="5" t="str">
        <f t="shared" si="7"/>
        <v>B4373.01_B</v>
      </c>
      <c r="F133" s="5" t="str">
        <f t="shared" si="5"/>
        <v>B4373.01_B</v>
      </c>
      <c r="G133" s="5" t="s">
        <v>626</v>
      </c>
    </row>
    <row r="134" spans="1:7" s="5" customFormat="1" x14ac:dyDescent="0.25">
      <c r="A134" s="5" t="s">
        <v>584</v>
      </c>
      <c r="B134" s="5" t="s">
        <v>585</v>
      </c>
      <c r="C134" s="5" t="s">
        <v>597</v>
      </c>
      <c r="D134" s="5" t="s">
        <v>125</v>
      </c>
      <c r="E134" s="5" t="str">
        <f t="shared" si="7"/>
        <v>B4373.01_B</v>
      </c>
      <c r="F134" s="5" t="str">
        <f t="shared" si="5"/>
        <v>B4373.01_B</v>
      </c>
      <c r="G134" s="5" t="s">
        <v>626</v>
      </c>
    </row>
    <row r="135" spans="1:7" s="5" customFormat="1" x14ac:dyDescent="0.25">
      <c r="A135" s="5" t="s">
        <v>584</v>
      </c>
      <c r="B135" s="5" t="s">
        <v>585</v>
      </c>
      <c r="C135" s="5" t="s">
        <v>597</v>
      </c>
      <c r="D135" s="5" t="s">
        <v>126</v>
      </c>
      <c r="E135" s="5" t="str">
        <f t="shared" si="7"/>
        <v>B4374.00_F</v>
      </c>
      <c r="F135" s="5" t="str">
        <f t="shared" si="5"/>
        <v>B4374.00_F</v>
      </c>
      <c r="G135" s="5" t="s">
        <v>627</v>
      </c>
    </row>
    <row r="136" spans="1:7" s="5" customFormat="1" x14ac:dyDescent="0.25">
      <c r="A136" s="5" t="s">
        <v>584</v>
      </c>
      <c r="B136" s="5" t="s">
        <v>585</v>
      </c>
      <c r="C136" s="5" t="s">
        <v>597</v>
      </c>
      <c r="D136" s="5" t="s">
        <v>130</v>
      </c>
      <c r="E136" s="5" t="str">
        <f t="shared" si="7"/>
        <v>B4374.00_F</v>
      </c>
      <c r="F136" s="5" t="str">
        <f t="shared" si="5"/>
        <v>B4374.00_F</v>
      </c>
      <c r="G136" s="5" t="s">
        <v>627</v>
      </c>
    </row>
    <row r="137" spans="1:7" s="5" customFormat="1" x14ac:dyDescent="0.25">
      <c r="A137" s="5" t="s">
        <v>584</v>
      </c>
      <c r="B137" s="5" t="s">
        <v>585</v>
      </c>
      <c r="C137" s="5" t="s">
        <v>597</v>
      </c>
      <c r="D137" s="5" t="s">
        <v>131</v>
      </c>
      <c r="E137" s="5" t="str">
        <f t="shared" si="7"/>
        <v>B4375.00_D</v>
      </c>
      <c r="F137" s="5" t="str">
        <f t="shared" si="5"/>
        <v>B4375.00_D</v>
      </c>
      <c r="G137" s="5" t="s">
        <v>628</v>
      </c>
    </row>
    <row r="138" spans="1:7" s="5" customFormat="1" x14ac:dyDescent="0.25">
      <c r="A138" s="5" t="s">
        <v>584</v>
      </c>
      <c r="B138" s="5" t="s">
        <v>585</v>
      </c>
      <c r="C138" s="5" t="s">
        <v>597</v>
      </c>
      <c r="D138" s="5" t="s">
        <v>135</v>
      </c>
      <c r="E138" s="5" t="str">
        <f t="shared" si="7"/>
        <v>B4375.00_D</v>
      </c>
      <c r="F138" s="5" t="str">
        <f t="shared" si="5"/>
        <v>B4375.00_D</v>
      </c>
      <c r="G138" s="5" t="s">
        <v>628</v>
      </c>
    </row>
    <row r="139" spans="1:7" s="5" customFormat="1" x14ac:dyDescent="0.25">
      <c r="A139" s="5" t="s">
        <v>584</v>
      </c>
      <c r="B139" s="5" t="s">
        <v>585</v>
      </c>
      <c r="C139" s="5" t="s">
        <v>597</v>
      </c>
      <c r="D139" s="5" t="s">
        <v>136</v>
      </c>
      <c r="E139" s="5" t="str">
        <f t="shared" si="7"/>
        <v>B4375.01_A</v>
      </c>
      <c r="F139" s="5" t="str">
        <f t="shared" si="5"/>
        <v>B4375.01_A</v>
      </c>
      <c r="G139" s="5" t="s">
        <v>629</v>
      </c>
    </row>
    <row r="140" spans="1:7" s="5" customFormat="1" x14ac:dyDescent="0.25">
      <c r="A140" s="5" t="s">
        <v>584</v>
      </c>
      <c r="B140" s="5" t="s">
        <v>585</v>
      </c>
      <c r="C140" s="5" t="s">
        <v>597</v>
      </c>
      <c r="D140" s="5" t="s">
        <v>139</v>
      </c>
      <c r="E140" s="5" t="str">
        <f t="shared" si="7"/>
        <v>B5264.00_B</v>
      </c>
      <c r="F140" s="5" t="str">
        <f t="shared" si="5"/>
        <v>B5264.00_B</v>
      </c>
      <c r="G140" s="5" t="s">
        <v>630</v>
      </c>
    </row>
    <row r="141" spans="1:7" s="5" customFormat="1" x14ac:dyDescent="0.25">
      <c r="A141" s="5" t="s">
        <v>584</v>
      </c>
      <c r="B141" s="5" t="s">
        <v>585</v>
      </c>
      <c r="C141" s="5" t="s">
        <v>597</v>
      </c>
      <c r="D141" s="5" t="s">
        <v>142</v>
      </c>
      <c r="E141" s="5" t="str">
        <f t="shared" si="7"/>
        <v>B5265.00_B</v>
      </c>
      <c r="F141" s="5" t="str">
        <f t="shared" ref="F141:F197" si="8">CONCATENATE(LEFT(E141,5),".",RIGHT(LEFT(E141,8),2),IF(LEN(E141)&gt;8,CONCATENATE("_",RIGHT(E141,1),""),""))</f>
        <v>B5265.00_B</v>
      </c>
      <c r="G141" s="5" t="s">
        <v>631</v>
      </c>
    </row>
    <row r="142" spans="1:7" s="5" customFormat="1" x14ac:dyDescent="0.25">
      <c r="A142" s="5" t="s">
        <v>584</v>
      </c>
      <c r="B142" s="5" t="s">
        <v>585</v>
      </c>
      <c r="C142" s="5" t="s">
        <v>597</v>
      </c>
      <c r="D142" s="5" t="s">
        <v>145</v>
      </c>
      <c r="E142" s="5" t="str">
        <f t="shared" si="7"/>
        <v>B5475.00_A</v>
      </c>
      <c r="F142" s="5" t="str">
        <f t="shared" si="8"/>
        <v>B5475.00_A</v>
      </c>
      <c r="G142" s="5" t="s">
        <v>632</v>
      </c>
    </row>
    <row r="143" spans="1:7" s="5" customFormat="1" x14ac:dyDescent="0.25">
      <c r="A143" s="5" t="s">
        <v>584</v>
      </c>
      <c r="B143" s="5" t="s">
        <v>585</v>
      </c>
      <c r="C143" s="5" t="s">
        <v>597</v>
      </c>
      <c r="D143" s="5" t="s">
        <v>148</v>
      </c>
      <c r="E143" s="5" t="str">
        <f t="shared" si="7"/>
        <v>B5478.00_A</v>
      </c>
      <c r="F143" s="5" t="str">
        <f t="shared" si="8"/>
        <v>B5478.00_A</v>
      </c>
      <c r="G143" s="5" t="s">
        <v>633</v>
      </c>
    </row>
    <row r="144" spans="1:7" s="5" customFormat="1" x14ac:dyDescent="0.25">
      <c r="A144" s="5" t="s">
        <v>584</v>
      </c>
      <c r="B144" s="5" t="s">
        <v>585</v>
      </c>
      <c r="C144" s="5" t="s">
        <v>597</v>
      </c>
      <c r="D144" s="5" t="s">
        <v>151</v>
      </c>
      <c r="E144" s="5" t="str">
        <f t="shared" si="7"/>
        <v>B5481.00_A</v>
      </c>
      <c r="F144" s="5" t="str">
        <f t="shared" si="8"/>
        <v>B5481.00_A</v>
      </c>
      <c r="G144" s="5" t="s">
        <v>634</v>
      </c>
    </row>
    <row r="145" spans="1:7" s="5" customFormat="1" x14ac:dyDescent="0.25">
      <c r="A145" s="5" t="s">
        <v>584</v>
      </c>
      <c r="B145" s="5" t="s">
        <v>585</v>
      </c>
      <c r="C145" s="5" t="s">
        <v>597</v>
      </c>
      <c r="D145" s="5" t="s">
        <v>154</v>
      </c>
      <c r="E145" s="5" t="str">
        <f t="shared" si="7"/>
        <v>B5767.03</v>
      </c>
      <c r="F145" s="5" t="str">
        <f t="shared" si="8"/>
        <v>B5767.03</v>
      </c>
      <c r="G145" s="5" t="s">
        <v>156</v>
      </c>
    </row>
    <row r="146" spans="1:7" s="5" customFormat="1" x14ac:dyDescent="0.25">
      <c r="A146" s="5" t="s">
        <v>584</v>
      </c>
      <c r="B146" s="5" t="s">
        <v>585</v>
      </c>
      <c r="C146" s="5" t="s">
        <v>597</v>
      </c>
      <c r="D146" s="5" t="s">
        <v>157</v>
      </c>
      <c r="E146" s="5" t="str">
        <f t="shared" si="7"/>
        <v>B5768.02</v>
      </c>
      <c r="F146" s="5" t="str">
        <f t="shared" si="8"/>
        <v>B5768.02</v>
      </c>
      <c r="G146" s="5" t="s">
        <v>159</v>
      </c>
    </row>
    <row r="147" spans="1:7" s="5" customFormat="1" x14ac:dyDescent="0.25">
      <c r="A147" s="5" t="s">
        <v>584</v>
      </c>
      <c r="B147" s="5" t="s">
        <v>585</v>
      </c>
      <c r="C147" s="5" t="s">
        <v>597</v>
      </c>
      <c r="D147" s="5" t="s">
        <v>160</v>
      </c>
      <c r="E147" s="5" t="str">
        <f t="shared" si="7"/>
        <v>B5769.02-B</v>
      </c>
      <c r="F147" s="5" t="str">
        <f t="shared" si="8"/>
        <v>B5769.02_B</v>
      </c>
      <c r="G147" s="5" t="s">
        <v>635</v>
      </c>
    </row>
    <row r="148" spans="1:7" s="5" customFormat="1" x14ac:dyDescent="0.25">
      <c r="A148" s="5" t="s">
        <v>584</v>
      </c>
      <c r="B148" s="5" t="s">
        <v>585</v>
      </c>
      <c r="C148" s="5" t="s">
        <v>597</v>
      </c>
      <c r="D148" s="5" t="s">
        <v>163</v>
      </c>
      <c r="E148" s="5" t="str">
        <f t="shared" si="7"/>
        <v>B5770.02_A</v>
      </c>
      <c r="F148" s="5" t="str">
        <f t="shared" si="8"/>
        <v>B5770.02_A</v>
      </c>
      <c r="G148" s="5" t="s">
        <v>636</v>
      </c>
    </row>
    <row r="149" spans="1:7" s="5" customFormat="1" x14ac:dyDescent="0.25">
      <c r="A149" s="5" t="s">
        <v>584</v>
      </c>
      <c r="B149" s="5" t="s">
        <v>585</v>
      </c>
      <c r="C149" s="5" t="s">
        <v>597</v>
      </c>
      <c r="D149" s="5" t="s">
        <v>166</v>
      </c>
      <c r="E149" s="5" t="str">
        <f t="shared" si="7"/>
        <v>B5771.01_A</v>
      </c>
      <c r="F149" s="5" t="str">
        <f t="shared" si="8"/>
        <v>B5771.01_A</v>
      </c>
      <c r="G149" s="5" t="s">
        <v>637</v>
      </c>
    </row>
    <row r="150" spans="1:7" s="5" customFormat="1" x14ac:dyDescent="0.25">
      <c r="A150" s="5" t="s">
        <v>584</v>
      </c>
      <c r="B150" s="5" t="s">
        <v>585</v>
      </c>
      <c r="C150" s="5" t="s">
        <v>597</v>
      </c>
      <c r="D150" s="5" t="s">
        <v>169</v>
      </c>
      <c r="E150" s="5" t="str">
        <f t="shared" si="7"/>
        <v>B5772.01_A</v>
      </c>
      <c r="F150" s="5" t="str">
        <f t="shared" si="8"/>
        <v>B5772.01_A</v>
      </c>
      <c r="G150" s="5" t="s">
        <v>638</v>
      </c>
    </row>
    <row r="151" spans="1:7" s="5" customFormat="1" x14ac:dyDescent="0.25">
      <c r="A151" s="5" t="s">
        <v>584</v>
      </c>
      <c r="B151" s="5" t="s">
        <v>585</v>
      </c>
      <c r="C151" s="5" t="s">
        <v>597</v>
      </c>
      <c r="D151" s="5" t="s">
        <v>172</v>
      </c>
      <c r="E151" s="5" t="str">
        <f t="shared" si="7"/>
        <v>B5773.00_A</v>
      </c>
      <c r="F151" s="5" t="str">
        <f t="shared" si="8"/>
        <v>B5773.00_A</v>
      </c>
      <c r="G151" s="5" t="s">
        <v>639</v>
      </c>
    </row>
    <row r="152" spans="1:7" s="5" customFormat="1" x14ac:dyDescent="0.25">
      <c r="A152" s="5" t="s">
        <v>584</v>
      </c>
      <c r="B152" s="5" t="s">
        <v>585</v>
      </c>
      <c r="C152" s="5" t="s">
        <v>597</v>
      </c>
      <c r="D152" s="5" t="s">
        <v>175</v>
      </c>
      <c r="E152" s="5" t="str">
        <f t="shared" si="7"/>
        <v>B5773.01</v>
      </c>
      <c r="F152" s="5" t="str">
        <f t="shared" si="8"/>
        <v>B5773.01</v>
      </c>
      <c r="G152" s="5" t="s">
        <v>177</v>
      </c>
    </row>
    <row r="153" spans="1:7" s="5" customFormat="1" x14ac:dyDescent="0.25">
      <c r="A153" s="5" t="s">
        <v>584</v>
      </c>
      <c r="B153" s="5" t="s">
        <v>585</v>
      </c>
      <c r="C153" s="5" t="s">
        <v>597</v>
      </c>
      <c r="D153" s="5" t="s">
        <v>178</v>
      </c>
      <c r="E153" s="5" t="str">
        <f t="shared" si="7"/>
        <v>B5774.00_A</v>
      </c>
      <c r="F153" s="5" t="str">
        <f t="shared" si="8"/>
        <v>B5774.00_A</v>
      </c>
      <c r="G153" s="5" t="s">
        <v>640</v>
      </c>
    </row>
    <row r="154" spans="1:7" s="5" customFormat="1" x14ac:dyDescent="0.25">
      <c r="A154" s="5" t="s">
        <v>584</v>
      </c>
      <c r="B154" s="5" t="s">
        <v>585</v>
      </c>
      <c r="C154" s="5" t="s">
        <v>597</v>
      </c>
      <c r="D154" s="5" t="s">
        <v>181</v>
      </c>
      <c r="E154" s="5" t="str">
        <f t="shared" si="7"/>
        <v>B5774.02</v>
      </c>
      <c r="F154" s="5" t="str">
        <f t="shared" si="8"/>
        <v>B5774.02</v>
      </c>
      <c r="G154" s="5" t="s">
        <v>183</v>
      </c>
    </row>
    <row r="155" spans="1:7" s="5" customFormat="1" x14ac:dyDescent="0.25">
      <c r="A155" s="5" t="s">
        <v>584</v>
      </c>
      <c r="B155" s="5" t="s">
        <v>585</v>
      </c>
      <c r="C155" s="5" t="s">
        <v>597</v>
      </c>
      <c r="D155" s="5" t="s">
        <v>184</v>
      </c>
      <c r="E155" s="5" t="str">
        <f t="shared" si="7"/>
        <v>B5775.03_A</v>
      </c>
      <c r="F155" s="5" t="str">
        <f t="shared" si="8"/>
        <v>B5775.03_A</v>
      </c>
      <c r="G155" s="5" t="s">
        <v>641</v>
      </c>
    </row>
    <row r="156" spans="1:7" s="5" customFormat="1" x14ac:dyDescent="0.25">
      <c r="A156" s="5" t="s">
        <v>584</v>
      </c>
      <c r="B156" s="5" t="s">
        <v>585</v>
      </c>
      <c r="C156" s="5" t="s">
        <v>597</v>
      </c>
      <c r="D156" s="5" t="s">
        <v>187</v>
      </c>
      <c r="E156" s="5" t="str">
        <f t="shared" si="7"/>
        <v>B5779.00-D</v>
      </c>
      <c r="F156" s="5" t="str">
        <f t="shared" si="8"/>
        <v>B5779.00_D</v>
      </c>
      <c r="G156" s="5" t="s">
        <v>642</v>
      </c>
    </row>
    <row r="157" spans="1:7" s="5" customFormat="1" x14ac:dyDescent="0.25">
      <c r="A157" s="5" t="s">
        <v>584</v>
      </c>
      <c r="B157" s="5" t="s">
        <v>585</v>
      </c>
      <c r="C157" s="5" t="s">
        <v>597</v>
      </c>
      <c r="D157" s="5" t="s">
        <v>190</v>
      </c>
      <c r="E157" s="5" t="str">
        <f t="shared" si="7"/>
        <v>B5780.00-B</v>
      </c>
      <c r="F157" s="5" t="str">
        <f t="shared" si="8"/>
        <v>B5780.00_B</v>
      </c>
      <c r="G157" s="5" t="s">
        <v>643</v>
      </c>
    </row>
    <row r="158" spans="1:7" s="5" customFormat="1" x14ac:dyDescent="0.25">
      <c r="A158" s="5" t="s">
        <v>584</v>
      </c>
      <c r="B158" s="5" t="s">
        <v>585</v>
      </c>
      <c r="C158" s="5" t="s">
        <v>597</v>
      </c>
      <c r="D158" s="5" t="s">
        <v>193</v>
      </c>
      <c r="E158" s="5" t="str">
        <f t="shared" si="7"/>
        <v>B5784.00-D</v>
      </c>
      <c r="F158" s="5" t="str">
        <f t="shared" si="8"/>
        <v>B5784.00_D</v>
      </c>
      <c r="G158" s="5" t="s">
        <v>644</v>
      </c>
    </row>
    <row r="159" spans="1:7" s="5" customFormat="1" x14ac:dyDescent="0.25">
      <c r="A159" s="5" t="s">
        <v>584</v>
      </c>
      <c r="B159" s="5" t="s">
        <v>585</v>
      </c>
      <c r="C159" s="5" t="s">
        <v>597</v>
      </c>
      <c r="D159" s="5" t="s">
        <v>196</v>
      </c>
      <c r="E159" s="5" t="str">
        <f t="shared" si="7"/>
        <v>B5829.01_B</v>
      </c>
      <c r="F159" s="5" t="str">
        <f t="shared" si="8"/>
        <v>B5829.01_B</v>
      </c>
      <c r="G159" s="5" t="s">
        <v>645</v>
      </c>
    </row>
    <row r="160" spans="1:7" s="5" customFormat="1" x14ac:dyDescent="0.25">
      <c r="A160" s="5" t="s">
        <v>584</v>
      </c>
      <c r="B160" s="5" t="s">
        <v>585</v>
      </c>
      <c r="C160" s="5" t="s">
        <v>597</v>
      </c>
      <c r="D160" s="5" t="s">
        <v>199</v>
      </c>
      <c r="E160" s="5" t="str">
        <f t="shared" si="7"/>
        <v>B5847.00_A</v>
      </c>
      <c r="F160" s="5" t="str">
        <f t="shared" si="8"/>
        <v>B5847.00_A</v>
      </c>
      <c r="G160" s="5" t="s">
        <v>646</v>
      </c>
    </row>
    <row r="161" spans="1:7" s="5" customFormat="1" x14ac:dyDescent="0.25">
      <c r="A161" s="5" t="s">
        <v>584</v>
      </c>
      <c r="B161" s="5" t="s">
        <v>585</v>
      </c>
      <c r="C161" s="5" t="s">
        <v>597</v>
      </c>
      <c r="D161" s="5" t="s">
        <v>202</v>
      </c>
      <c r="E161" s="5" t="str">
        <f t="shared" si="7"/>
        <v>B5904.03_A</v>
      </c>
      <c r="F161" s="5" t="str">
        <f t="shared" si="8"/>
        <v>B5904.03_A</v>
      </c>
      <c r="G161" s="5" t="s">
        <v>647</v>
      </c>
    </row>
    <row r="162" spans="1:7" s="5" customFormat="1" x14ac:dyDescent="0.25">
      <c r="A162" s="5" t="s">
        <v>584</v>
      </c>
      <c r="B162" s="5" t="s">
        <v>585</v>
      </c>
      <c r="C162" s="5" t="s">
        <v>597</v>
      </c>
      <c r="D162" s="5" t="s">
        <v>205</v>
      </c>
      <c r="E162" s="5" t="str">
        <f t="shared" ref="E162:E193" si="9">IF(AND(OR(LEFT(RIGHT(D162,LEN(D162)-8),1)="_",LEFT(RIGHT(D162,LEN(D162)-8),1)="-"),OR(LEFT(RIGHT(D162,LEN(D162)-10),1)="_",LEFT(RIGHT(D162,LEN(D162)-10),1)="-")),LEFT(D162,10),LEFT(D162,8))</f>
        <v>B5905.00_B</v>
      </c>
      <c r="F162" s="5" t="str">
        <f t="shared" si="8"/>
        <v>B5905.00_B</v>
      </c>
      <c r="G162" s="5" t="s">
        <v>648</v>
      </c>
    </row>
    <row r="163" spans="1:7" s="5" customFormat="1" x14ac:dyDescent="0.25">
      <c r="A163" s="5" t="s">
        <v>584</v>
      </c>
      <c r="B163" s="5" t="s">
        <v>585</v>
      </c>
      <c r="C163" s="5" t="s">
        <v>597</v>
      </c>
      <c r="D163" s="5" t="s">
        <v>208</v>
      </c>
      <c r="E163" s="5" t="str">
        <f t="shared" si="9"/>
        <v>B5906.00_B</v>
      </c>
      <c r="F163" s="5" t="str">
        <f t="shared" si="8"/>
        <v>B5906.00_B</v>
      </c>
      <c r="G163" s="5" t="s">
        <v>649</v>
      </c>
    </row>
    <row r="164" spans="1:7" s="5" customFormat="1" x14ac:dyDescent="0.25">
      <c r="A164" s="5" t="s">
        <v>584</v>
      </c>
      <c r="B164" s="5" t="s">
        <v>585</v>
      </c>
      <c r="C164" s="5" t="s">
        <v>597</v>
      </c>
      <c r="D164" s="5" t="s">
        <v>211</v>
      </c>
      <c r="E164" s="5" t="str">
        <f t="shared" si="9"/>
        <v>B5907.00_C</v>
      </c>
      <c r="F164" s="5" t="str">
        <f t="shared" si="8"/>
        <v>B5907.00_C</v>
      </c>
      <c r="G164" s="5" t="s">
        <v>650</v>
      </c>
    </row>
    <row r="165" spans="1:7" s="5" customFormat="1" x14ac:dyDescent="0.25">
      <c r="A165" s="5" t="s">
        <v>584</v>
      </c>
      <c r="B165" s="5" t="s">
        <v>585</v>
      </c>
      <c r="C165" s="5" t="s">
        <v>597</v>
      </c>
      <c r="D165" s="5" t="s">
        <v>214</v>
      </c>
      <c r="E165" s="5" t="str">
        <f t="shared" si="9"/>
        <v>B5929.01_C</v>
      </c>
      <c r="F165" s="5" t="str">
        <f t="shared" si="8"/>
        <v>B5929.01_C</v>
      </c>
      <c r="G165" s="5" t="s">
        <v>651</v>
      </c>
    </row>
    <row r="166" spans="1:7" s="5" customFormat="1" x14ac:dyDescent="0.25">
      <c r="A166" s="5" t="s">
        <v>584</v>
      </c>
      <c r="B166" s="5" t="s">
        <v>585</v>
      </c>
      <c r="C166" s="5" t="s">
        <v>597</v>
      </c>
      <c r="D166" s="5" t="s">
        <v>217</v>
      </c>
      <c r="E166" s="5" t="str">
        <f t="shared" si="9"/>
        <v>B5929.01_C</v>
      </c>
      <c r="F166" s="5" t="str">
        <f t="shared" si="8"/>
        <v>B5929.01_C</v>
      </c>
      <c r="G166" s="5" t="s">
        <v>651</v>
      </c>
    </row>
    <row r="167" spans="1:7" s="5" customFormat="1" x14ac:dyDescent="0.25">
      <c r="A167" s="5" t="s">
        <v>584</v>
      </c>
      <c r="B167" s="5" t="s">
        <v>585</v>
      </c>
      <c r="C167" s="5" t="s">
        <v>597</v>
      </c>
      <c r="D167" s="5" t="s">
        <v>218</v>
      </c>
      <c r="E167" s="5" t="str">
        <f t="shared" si="9"/>
        <v>B5930.01-B</v>
      </c>
      <c r="F167" s="5" t="str">
        <f t="shared" si="8"/>
        <v>B5930.01_B</v>
      </c>
      <c r="G167" s="5" t="s">
        <v>652</v>
      </c>
    </row>
    <row r="168" spans="1:7" s="5" customFormat="1" x14ac:dyDescent="0.25">
      <c r="A168" s="5" t="s">
        <v>584</v>
      </c>
      <c r="B168" s="5" t="s">
        <v>585</v>
      </c>
      <c r="C168" s="5" t="s">
        <v>597</v>
      </c>
      <c r="D168" s="5" t="s">
        <v>221</v>
      </c>
      <c r="E168" s="5" t="str">
        <f t="shared" si="9"/>
        <v>B6025.00_A</v>
      </c>
      <c r="F168" s="5" t="str">
        <f t="shared" si="8"/>
        <v>B6025.00_A</v>
      </c>
      <c r="G168" s="5" t="s">
        <v>653</v>
      </c>
    </row>
    <row r="169" spans="1:7" s="5" customFormat="1" x14ac:dyDescent="0.25">
      <c r="A169" s="5" t="s">
        <v>584</v>
      </c>
      <c r="B169" s="5" t="s">
        <v>585</v>
      </c>
      <c r="C169" s="5" t="s">
        <v>597</v>
      </c>
      <c r="D169" s="5" t="s">
        <v>224</v>
      </c>
      <c r="E169" s="5" t="str">
        <f t="shared" si="9"/>
        <v>D3955.00</v>
      </c>
      <c r="F169" s="5" t="str">
        <f t="shared" si="8"/>
        <v>D3955.00</v>
      </c>
      <c r="G169" s="5" t="s">
        <v>226</v>
      </c>
    </row>
    <row r="170" spans="1:7" s="5" customFormat="1" x14ac:dyDescent="0.25">
      <c r="A170" s="5" t="s">
        <v>584</v>
      </c>
      <c r="B170" s="5" t="s">
        <v>585</v>
      </c>
      <c r="C170" s="5" t="s">
        <v>597</v>
      </c>
      <c r="D170" s="5" t="s">
        <v>227</v>
      </c>
      <c r="E170" s="5" t="str">
        <f t="shared" si="9"/>
        <v>D4183.02_A</v>
      </c>
      <c r="F170" s="5" t="str">
        <f t="shared" si="8"/>
        <v>D4183.02_A</v>
      </c>
      <c r="G170" s="5" t="s">
        <v>654</v>
      </c>
    </row>
    <row r="171" spans="1:7" s="5" customFormat="1" x14ac:dyDescent="0.25">
      <c r="A171" s="5" t="s">
        <v>584</v>
      </c>
      <c r="B171" s="5" t="s">
        <v>585</v>
      </c>
      <c r="C171" s="5" t="s">
        <v>597</v>
      </c>
      <c r="D171" s="5" t="s">
        <v>230</v>
      </c>
      <c r="E171" s="5" t="str">
        <f t="shared" si="9"/>
        <v>D4553.00_A</v>
      </c>
      <c r="F171" s="5" t="str">
        <f t="shared" si="8"/>
        <v>D4553.00_A</v>
      </c>
      <c r="G171" s="5" t="s">
        <v>655</v>
      </c>
    </row>
    <row r="172" spans="1:7" s="5" customFormat="1" x14ac:dyDescent="0.25">
      <c r="A172" s="5" t="s">
        <v>584</v>
      </c>
      <c r="B172" s="5" t="s">
        <v>585</v>
      </c>
      <c r="C172" s="5" t="s">
        <v>597</v>
      </c>
      <c r="D172" s="5" t="s">
        <v>233</v>
      </c>
      <c r="E172" s="5" t="str">
        <f t="shared" si="9"/>
        <v>D5044.00_A</v>
      </c>
      <c r="F172" s="5" t="str">
        <f t="shared" si="8"/>
        <v>D5044.00_A</v>
      </c>
      <c r="G172" s="5" t="s">
        <v>656</v>
      </c>
    </row>
    <row r="173" spans="1:7" s="5" customFormat="1" x14ac:dyDescent="0.25">
      <c r="A173" s="5" t="s">
        <v>584</v>
      </c>
      <c r="B173" s="5" t="s">
        <v>585</v>
      </c>
      <c r="C173" s="5" t="s">
        <v>597</v>
      </c>
      <c r="D173" s="5" t="s">
        <v>236</v>
      </c>
      <c r="E173" s="5" t="str">
        <f t="shared" si="9"/>
        <v>D5061.00_A</v>
      </c>
      <c r="F173" s="5" t="str">
        <f t="shared" si="8"/>
        <v>D5061.00_A</v>
      </c>
      <c r="G173" s="5" t="s">
        <v>657</v>
      </c>
    </row>
    <row r="174" spans="1:7" s="5" customFormat="1" x14ac:dyDescent="0.25">
      <c r="A174" s="5" t="s">
        <v>584</v>
      </c>
      <c r="B174" s="5" t="s">
        <v>585</v>
      </c>
      <c r="C174" s="5" t="s">
        <v>597</v>
      </c>
      <c r="D174" s="5" t="s">
        <v>239</v>
      </c>
      <c r="E174" s="5" t="str">
        <f t="shared" si="9"/>
        <v>D5785.05_A</v>
      </c>
      <c r="F174" s="5" t="str">
        <f t="shared" si="8"/>
        <v>D5785.05_A</v>
      </c>
      <c r="G174" s="5" t="s">
        <v>658</v>
      </c>
    </row>
    <row r="175" spans="1:7" s="5" customFormat="1" x14ac:dyDescent="0.25">
      <c r="A175" s="5" t="s">
        <v>584</v>
      </c>
      <c r="B175" s="5" t="s">
        <v>585</v>
      </c>
      <c r="C175" s="5" t="s">
        <v>597</v>
      </c>
      <c r="D175" s="5" t="s">
        <v>242</v>
      </c>
      <c r="E175" s="5" t="str">
        <f t="shared" si="9"/>
        <v>D5804.00_A</v>
      </c>
      <c r="F175" s="5" t="str">
        <f t="shared" si="8"/>
        <v>D5804.00_A</v>
      </c>
      <c r="G175" s="5" t="s">
        <v>659</v>
      </c>
    </row>
    <row r="176" spans="1:7" s="5" customFormat="1" x14ac:dyDescent="0.25">
      <c r="A176" s="5" t="s">
        <v>584</v>
      </c>
      <c r="B176" s="5" t="s">
        <v>585</v>
      </c>
      <c r="C176" s="5" t="s">
        <v>597</v>
      </c>
      <c r="D176" s="5" t="s">
        <v>245</v>
      </c>
      <c r="E176" s="5" t="str">
        <f t="shared" si="9"/>
        <v>D5805.00_A</v>
      </c>
      <c r="F176" s="5" t="str">
        <f t="shared" si="8"/>
        <v>D5805.00_A</v>
      </c>
      <c r="G176" s="5" t="s">
        <v>660</v>
      </c>
    </row>
    <row r="177" spans="1:7" s="5" customFormat="1" x14ac:dyDescent="0.25">
      <c r="A177" s="5" t="s">
        <v>584</v>
      </c>
      <c r="B177" s="5" t="s">
        <v>585</v>
      </c>
      <c r="C177" s="5" t="s">
        <v>597</v>
      </c>
      <c r="D177" s="5" t="s">
        <v>248</v>
      </c>
      <c r="E177" s="5" t="str">
        <f t="shared" si="9"/>
        <v>Molla_ch</v>
      </c>
      <c r="F177" s="5" t="str">
        <f t="shared" si="8"/>
        <v>Molla.ch</v>
      </c>
      <c r="G177" s="5" t="s">
        <v>679</v>
      </c>
    </row>
    <row r="178" spans="1:7" s="5" customFormat="1" x14ac:dyDescent="0.25">
      <c r="A178" s="5" t="s">
        <v>584</v>
      </c>
      <c r="B178" s="5" t="s">
        <v>585</v>
      </c>
      <c r="C178" s="5" t="s">
        <v>597</v>
      </c>
      <c r="D178" s="5" t="s">
        <v>250</v>
      </c>
      <c r="E178" s="5" t="str">
        <f t="shared" si="9"/>
        <v>PRODUCT1</v>
      </c>
      <c r="F178" s="5" t="str">
        <f t="shared" si="8"/>
        <v>PRODU.T1</v>
      </c>
      <c r="G178" s="5" t="s">
        <v>680</v>
      </c>
    </row>
    <row r="179" spans="1:7" s="5" customFormat="1" x14ac:dyDescent="0.25">
      <c r="A179" s="5" t="s">
        <v>584</v>
      </c>
      <c r="B179" s="5" t="s">
        <v>585</v>
      </c>
      <c r="C179" s="5" t="s">
        <v>597</v>
      </c>
      <c r="D179" s="5" t="s">
        <v>252</v>
      </c>
      <c r="E179" s="5" t="str">
        <f t="shared" si="9"/>
        <v>RPS-POIN</v>
      </c>
      <c r="F179" s="5" t="str">
        <f t="shared" si="8"/>
        <v>RPS-P.IN</v>
      </c>
      <c r="G179" s="5" t="s">
        <v>681</v>
      </c>
    </row>
    <row r="180" spans="1:7" s="5" customFormat="1" x14ac:dyDescent="0.25">
      <c r="A180" s="5" t="s">
        <v>584</v>
      </c>
      <c r="B180" s="5" t="s">
        <v>585</v>
      </c>
      <c r="C180" s="5" t="s">
        <v>597</v>
      </c>
      <c r="D180" s="5" t="s">
        <v>254</v>
      </c>
      <c r="E180" s="5" t="str">
        <f t="shared" si="9"/>
        <v>SCTR CHI</v>
      </c>
      <c r="F180" s="5" t="str">
        <f t="shared" si="8"/>
        <v>SCTR .HI</v>
      </c>
      <c r="G180" s="5" t="s">
        <v>682</v>
      </c>
    </row>
    <row r="181" spans="1:7" s="5" customFormat="1" x14ac:dyDescent="0.25">
      <c r="A181" s="5" t="s">
        <v>584</v>
      </c>
      <c r="B181" s="5" t="s">
        <v>585</v>
      </c>
      <c r="C181" s="5" t="s">
        <v>597</v>
      </c>
      <c r="D181" s="5" t="s">
        <v>256</v>
      </c>
      <c r="E181" s="5" t="str">
        <f t="shared" si="9"/>
        <v>TAVOLA C</v>
      </c>
      <c r="F181" s="5" t="str">
        <f t="shared" si="8"/>
        <v>TAVOL. C</v>
      </c>
      <c r="G181" s="5" t="s">
        <v>683</v>
      </c>
    </row>
    <row r="182" spans="1:7" s="5" customFormat="1" x14ac:dyDescent="0.25">
      <c r="A182" s="5" t="s">
        <v>584</v>
      </c>
      <c r="B182" s="5" t="s">
        <v>492</v>
      </c>
      <c r="C182" s="5" t="s">
        <v>598</v>
      </c>
      <c r="D182" s="5" t="s">
        <v>260</v>
      </c>
      <c r="E182" s="5" t="str">
        <f t="shared" si="9"/>
        <v>8K0_823_</v>
      </c>
      <c r="F182" s="5" t="str">
        <f t="shared" si="8"/>
        <v>8K0_8.3_</v>
      </c>
      <c r="G182" s="5" t="s">
        <v>684</v>
      </c>
    </row>
    <row r="183" spans="1:7" s="5" customFormat="1" x14ac:dyDescent="0.25">
      <c r="A183" s="5" t="s">
        <v>584</v>
      </c>
      <c r="B183" s="5" t="s">
        <v>492</v>
      </c>
      <c r="C183" s="5" t="s">
        <v>598</v>
      </c>
      <c r="D183" s="5" t="s">
        <v>252</v>
      </c>
      <c r="E183" s="5" t="str">
        <f t="shared" si="9"/>
        <v>RPS-POIN</v>
      </c>
      <c r="F183" s="5" t="str">
        <f t="shared" si="8"/>
        <v>RPS-P.IN</v>
      </c>
      <c r="G183" s="5" t="s">
        <v>685</v>
      </c>
    </row>
    <row r="184" spans="1:7" s="5" customFormat="1" x14ac:dyDescent="0.25">
      <c r="A184" s="5" t="s">
        <v>591</v>
      </c>
      <c r="B184" s="5" t="s">
        <v>592</v>
      </c>
      <c r="C184" s="5" t="s">
        <v>602</v>
      </c>
      <c r="D184" s="5" t="s">
        <v>264</v>
      </c>
      <c r="E184" s="5" t="str">
        <f t="shared" si="9"/>
        <v>topolino</v>
      </c>
      <c r="F184" s="5" t="str">
        <f t="shared" si="8"/>
        <v>topol.no</v>
      </c>
      <c r="G184" s="5" t="s">
        <v>686</v>
      </c>
    </row>
    <row r="185" spans="1:7" s="5" customFormat="1" x14ac:dyDescent="0.25">
      <c r="A185" s="5" t="s">
        <v>591</v>
      </c>
      <c r="B185" s="5" t="s">
        <v>592</v>
      </c>
      <c r="C185" s="5" t="s">
        <v>602</v>
      </c>
      <c r="D185" s="5" t="s">
        <v>262</v>
      </c>
      <c r="E185" s="5" t="str">
        <f t="shared" si="9"/>
        <v>pippo.CA</v>
      </c>
      <c r="F185" s="5" t="str">
        <f t="shared" si="8"/>
        <v>pippo.CA</v>
      </c>
      <c r="G185" s="5" t="s">
        <v>687</v>
      </c>
    </row>
    <row r="186" spans="1:7" s="5" customFormat="1" x14ac:dyDescent="0.25">
      <c r="A186" s="5" t="s">
        <v>591</v>
      </c>
      <c r="B186" s="5" t="s">
        <v>593</v>
      </c>
      <c r="C186" s="5" t="s">
        <v>600</v>
      </c>
      <c r="D186" s="5" t="s">
        <v>594</v>
      </c>
      <c r="E186" s="5" t="str">
        <f t="shared" si="9"/>
        <v>B6411_00_A</v>
      </c>
      <c r="F186" s="5" t="str">
        <f t="shared" si="8"/>
        <v>B6411.00_A</v>
      </c>
      <c r="G186" s="5" t="s">
        <v>661</v>
      </c>
    </row>
    <row r="187" spans="1:7" s="5" customFormat="1" x14ac:dyDescent="0.25">
      <c r="A187" s="5" t="s">
        <v>591</v>
      </c>
      <c r="B187" s="5" t="s">
        <v>593</v>
      </c>
      <c r="C187" s="5" t="s">
        <v>600</v>
      </c>
      <c r="D187" s="5" t="s">
        <v>595</v>
      </c>
      <c r="E187" s="5" t="str">
        <f t="shared" si="9"/>
        <v>B6411_00_A</v>
      </c>
      <c r="F187" s="5" t="str">
        <f t="shared" si="8"/>
        <v>B6411.00_A</v>
      </c>
      <c r="G187" s="5" t="s">
        <v>661</v>
      </c>
    </row>
    <row r="188" spans="1:7" s="5" customFormat="1" x14ac:dyDescent="0.25">
      <c r="A188" s="5" t="s">
        <v>591</v>
      </c>
      <c r="B188" s="5" t="s">
        <v>554</v>
      </c>
      <c r="C188" s="5" t="s">
        <v>599</v>
      </c>
      <c r="D188" s="5" t="s">
        <v>269</v>
      </c>
      <c r="E188" s="5" t="str">
        <f t="shared" si="9"/>
        <v>B3729_03</v>
      </c>
      <c r="F188" s="5" t="str">
        <f t="shared" si="8"/>
        <v>B3729.03</v>
      </c>
      <c r="G188" s="5" t="s">
        <v>662</v>
      </c>
    </row>
    <row r="189" spans="1:7" s="5" customFormat="1" x14ac:dyDescent="0.25">
      <c r="A189" s="5" t="s">
        <v>591</v>
      </c>
      <c r="B189" s="5" t="s">
        <v>554</v>
      </c>
      <c r="C189" s="5" t="s">
        <v>599</v>
      </c>
      <c r="D189" s="5" t="s">
        <v>273</v>
      </c>
      <c r="E189" s="5" t="str">
        <f t="shared" si="9"/>
        <v>B3729_03</v>
      </c>
      <c r="F189" s="5" t="str">
        <f t="shared" si="8"/>
        <v>B3729.03</v>
      </c>
      <c r="G189" s="5" t="s">
        <v>662</v>
      </c>
    </row>
    <row r="190" spans="1:7" s="5" customFormat="1" x14ac:dyDescent="0.25">
      <c r="A190" s="5" t="s">
        <v>591</v>
      </c>
      <c r="B190" s="5" t="s">
        <v>554</v>
      </c>
      <c r="C190" s="5" t="s">
        <v>599</v>
      </c>
      <c r="D190" s="5" t="s">
        <v>274</v>
      </c>
      <c r="E190" s="5" t="str">
        <f t="shared" si="9"/>
        <v>B4780_01</v>
      </c>
      <c r="F190" s="5" t="str">
        <f t="shared" si="8"/>
        <v>B4780.01</v>
      </c>
      <c r="G190" s="5" t="s">
        <v>663</v>
      </c>
    </row>
    <row r="191" spans="1:7" s="5" customFormat="1" x14ac:dyDescent="0.25">
      <c r="A191" s="5" t="s">
        <v>591</v>
      </c>
      <c r="B191" s="5" t="s">
        <v>554</v>
      </c>
      <c r="C191" s="5" t="s">
        <v>599</v>
      </c>
      <c r="D191" s="5" t="s">
        <v>277</v>
      </c>
      <c r="E191" s="5" t="str">
        <f t="shared" si="9"/>
        <v>B4780_01</v>
      </c>
      <c r="F191" s="5" t="str">
        <f t="shared" si="8"/>
        <v>B4780.01</v>
      </c>
      <c r="G191" s="5" t="s">
        <v>663</v>
      </c>
    </row>
    <row r="192" spans="1:7" s="5" customFormat="1" x14ac:dyDescent="0.25">
      <c r="A192" s="5" t="s">
        <v>591</v>
      </c>
      <c r="B192" s="5" t="s">
        <v>554</v>
      </c>
      <c r="C192" s="5" t="s">
        <v>599</v>
      </c>
      <c r="D192" s="5" t="s">
        <v>278</v>
      </c>
      <c r="E192" s="5" t="str">
        <f t="shared" si="9"/>
        <v>B4781_03</v>
      </c>
      <c r="F192" s="5" t="str">
        <f t="shared" si="8"/>
        <v>B4781.03</v>
      </c>
      <c r="G192" s="5" t="s">
        <v>664</v>
      </c>
    </row>
    <row r="193" spans="1:7" s="5" customFormat="1" x14ac:dyDescent="0.25">
      <c r="A193" s="5" t="s">
        <v>591</v>
      </c>
      <c r="B193" s="5" t="s">
        <v>554</v>
      </c>
      <c r="C193" s="5" t="s">
        <v>599</v>
      </c>
      <c r="D193" s="5" t="s">
        <v>281</v>
      </c>
      <c r="E193" s="5" t="str">
        <f t="shared" si="9"/>
        <v>B4781_03</v>
      </c>
      <c r="F193" s="5" t="str">
        <f t="shared" si="8"/>
        <v>B4781.03</v>
      </c>
      <c r="G193" s="5" t="s">
        <v>664</v>
      </c>
    </row>
    <row r="194" spans="1:7" s="5" customFormat="1" x14ac:dyDescent="0.25">
      <c r="A194" s="5" t="s">
        <v>591</v>
      </c>
      <c r="B194" s="5" t="s">
        <v>554</v>
      </c>
      <c r="C194" s="5" t="s">
        <v>599</v>
      </c>
      <c r="D194" s="5" t="s">
        <v>282</v>
      </c>
      <c r="E194" s="5" t="str">
        <f t="shared" ref="E194:E197" si="10">IF(AND(OR(LEFT(RIGHT(D194,LEN(D194)-8),1)="_",LEFT(RIGHT(D194,LEN(D194)-8),1)="-"),OR(LEFT(RIGHT(D194,LEN(D194)-10),1)="_",LEFT(RIGHT(D194,LEN(D194)-10),1)="-")),LEFT(D194,10),LEFT(D194,8))</f>
        <v>B4782_01</v>
      </c>
      <c r="F194" s="5" t="str">
        <f t="shared" si="8"/>
        <v>B4782.01</v>
      </c>
      <c r="G194" s="5" t="s">
        <v>665</v>
      </c>
    </row>
    <row r="195" spans="1:7" s="5" customFormat="1" x14ac:dyDescent="0.25">
      <c r="A195" s="5" t="s">
        <v>591</v>
      </c>
      <c r="B195" s="5" t="s">
        <v>554</v>
      </c>
      <c r="C195" s="5" t="s">
        <v>599</v>
      </c>
      <c r="D195" s="5" t="s">
        <v>285</v>
      </c>
      <c r="E195" s="5" t="str">
        <f t="shared" si="10"/>
        <v>B4782_01</v>
      </c>
      <c r="F195" s="5" t="str">
        <f t="shared" si="8"/>
        <v>B4782.01</v>
      </c>
      <c r="G195" s="5" t="s">
        <v>665</v>
      </c>
    </row>
    <row r="196" spans="1:7" s="5" customFormat="1" x14ac:dyDescent="0.25">
      <c r="A196" s="5" t="s">
        <v>591</v>
      </c>
      <c r="B196" s="5" t="s">
        <v>554</v>
      </c>
      <c r="C196" s="5" t="s">
        <v>599</v>
      </c>
      <c r="D196" s="5" t="s">
        <v>286</v>
      </c>
      <c r="E196" s="5" t="str">
        <f t="shared" si="10"/>
        <v>B4783_01</v>
      </c>
      <c r="F196" s="5" t="str">
        <f t="shared" si="8"/>
        <v>B4783.01</v>
      </c>
      <c r="G196" s="5" t="s">
        <v>666</v>
      </c>
    </row>
    <row r="197" spans="1:7" s="5" customFormat="1" x14ac:dyDescent="0.25">
      <c r="A197" s="5" t="s">
        <v>591</v>
      </c>
      <c r="B197" s="5" t="s">
        <v>554</v>
      </c>
      <c r="C197" s="5" t="s">
        <v>599</v>
      </c>
      <c r="D197" s="5" t="s">
        <v>289</v>
      </c>
      <c r="E197" s="5" t="str">
        <f t="shared" si="10"/>
        <v>B4783_01</v>
      </c>
      <c r="F197" s="5" t="str">
        <f t="shared" si="8"/>
        <v>B4783.01</v>
      </c>
      <c r="G197" s="5" t="s">
        <v>666</v>
      </c>
    </row>
    <row r="198" spans="1:7" s="4" customFormat="1" x14ac:dyDescent="0.25">
      <c r="C198" s="5"/>
    </row>
  </sheetData>
  <autoFilter ref="A1:G197"/>
  <pageMargins left="0.7" right="0.7" top="0.75" bottom="0.75" header="0.3" footer="0.3"/>
  <pageSetup paperSize="9" orientation="portrait" verticalDpi="599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K89"/>
  <sheetViews>
    <sheetView workbookViewId="0">
      <pane ySplit="1" topLeftCell="A32" activePane="bottomLeft" state="frozen"/>
      <selection pane="bottomLeft" activeCell="G2" sqref="G2:G75"/>
    </sheetView>
  </sheetViews>
  <sheetFormatPr defaultRowHeight="15" x14ac:dyDescent="0.25"/>
  <cols>
    <col min="1" max="1" width="47.7109375" customWidth="1"/>
    <col min="2" max="2" width="17.5703125" customWidth="1"/>
    <col min="3" max="3" width="9.5703125" bestFit="1" customWidth="1"/>
    <col min="5" max="5" width="6.5703125" bestFit="1" customWidth="1"/>
    <col min="6" max="6" width="3" customWidth="1"/>
    <col min="7" max="7" width="8.5703125" bestFit="1" customWidth="1"/>
    <col min="8" max="8" width="11" bestFit="1" customWidth="1"/>
    <col min="9" max="9" width="15.7109375" customWidth="1"/>
    <col min="10" max="10" width="13.85546875" customWidth="1"/>
  </cols>
  <sheetData>
    <row r="1" spans="1:11" ht="20.25" customHeight="1" x14ac:dyDescent="0.25">
      <c r="A1" t="s">
        <v>13</v>
      </c>
      <c r="B1" s="2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s="3" t="s">
        <v>23</v>
      </c>
    </row>
    <row r="2" spans="1:11" s="4" customFormat="1" x14ac:dyDescent="0.25">
      <c r="A2" t="s">
        <v>36</v>
      </c>
      <c r="B2" t="s">
        <v>37</v>
      </c>
      <c r="C2" t="s">
        <v>38</v>
      </c>
      <c r="D2" t="s">
        <v>39</v>
      </c>
      <c r="E2" t="s">
        <v>40</v>
      </c>
      <c r="F2" t="s">
        <v>27</v>
      </c>
      <c r="G2" t="s">
        <v>28</v>
      </c>
      <c r="H2" t="s">
        <v>29</v>
      </c>
      <c r="I2" t="s">
        <v>36</v>
      </c>
      <c r="J2"/>
      <c r="K2" s="4" t="str">
        <f>CONCATENATE("&lt;?xml version=""1.0"" encoding=""UTF-8"" standalone=""yes""?&gt; &lt;PartList&gt;")</f>
        <v>&lt;?xml version="1.0" encoding="UTF-8" standalone="yes"?&gt; &lt;PartList&gt;</v>
      </c>
    </row>
    <row r="3" spans="1:11" x14ac:dyDescent="0.25">
      <c r="A3" t="s">
        <v>41</v>
      </c>
      <c r="B3" t="s">
        <v>42</v>
      </c>
      <c r="C3" t="s">
        <v>38</v>
      </c>
      <c r="D3" t="s">
        <v>43</v>
      </c>
      <c r="E3" t="s">
        <v>44</v>
      </c>
      <c r="F3" t="s">
        <v>27</v>
      </c>
      <c r="G3" t="s">
        <v>28</v>
      </c>
      <c r="H3" t="s">
        <v>29</v>
      </c>
      <c r="I3" t="s">
        <v>41</v>
      </c>
      <c r="J3" s="2"/>
      <c r="K3" s="2" t="str">
        <f t="shared" ref="K3:K61" si="0">IF(A3&lt;&gt;"",CONCATENATE("&lt;Component C_Type=""",C3,""" C_CODE=""",D3,""" C_REV=""",E3,""" C_Data=""",F3,""" C_STATUS=""",G3,""" C_Designer=""",H3,""" C_TwoD=""",I3,""" C_Three_D=""",J3,""" &gt; ",A3," &lt;/Component&gt;"),"&lt;/PartList&gt;")</f>
        <v>&lt;Component C_Type="Drawing" C_CODE="A0846.00" C_REV="A" C_Data="01_01_1970" C_STATUS="Active" C_Designer="Bartola" C_TwoD="A0846.00_A-RESINA LOCTITE UV 3081.CATDrawing" C_Three_D="" &gt; A0846.00_A-RESINA LOCTITE UV 3081.CATDrawing &lt;/Component&gt;</v>
      </c>
    </row>
    <row r="4" spans="1:11" x14ac:dyDescent="0.25">
      <c r="A4" t="s">
        <v>45</v>
      </c>
      <c r="B4" t="s">
        <v>46</v>
      </c>
      <c r="C4" t="s">
        <v>38</v>
      </c>
      <c r="D4" t="s">
        <v>47</v>
      </c>
      <c r="E4" t="s">
        <v>48</v>
      </c>
      <c r="F4" t="s">
        <v>27</v>
      </c>
      <c r="G4" t="s">
        <v>28</v>
      </c>
      <c r="H4" t="s">
        <v>29</v>
      </c>
      <c r="I4" t="s">
        <v>45</v>
      </c>
      <c r="J4" s="2"/>
      <c r="K4" s="2" t="str">
        <f t="shared" si="0"/>
        <v>&lt;Component C_Type="Drawing" C_CODE="A0854.00" C_REV="B" C_Data="01_01_1970" C_STATUS="Active" C_Designer="Bartola" C_TwoD="A0854.00_B-NASTRO-S355MC-1.5X135.CATDrawing" C_Three_D="" &gt; A0854.00_B-NASTRO-S355MC-1.5X135.CATDrawing &lt;/Component&gt;</v>
      </c>
    </row>
    <row r="5" spans="1:11" x14ac:dyDescent="0.25">
      <c r="A5" t="s">
        <v>49</v>
      </c>
      <c r="B5" t="s">
        <v>50</v>
      </c>
      <c r="C5" t="s">
        <v>38</v>
      </c>
      <c r="D5" t="s">
        <v>51</v>
      </c>
      <c r="E5" t="s">
        <v>48</v>
      </c>
      <c r="F5" t="s">
        <v>27</v>
      </c>
      <c r="G5" t="s">
        <v>28</v>
      </c>
      <c r="H5" t="s">
        <v>29</v>
      </c>
      <c r="I5" t="s">
        <v>49</v>
      </c>
      <c r="J5" s="2"/>
      <c r="K5" s="2" t="str">
        <f t="shared" si="0"/>
        <v>&lt;Component C_Type="Drawing" C_CODE="A0903.00" C_REV="B" C_Data="01_01_1970" C_STATUS="Active" C_Designer="Bartola" C_TwoD="A0903.00_B-NASTRO C45  120X2.5.CATDrawing" C_Three_D="" &gt; A0903.00_B-NASTRO C45  120X2.5.CATDrawing &lt;/Component&gt;</v>
      </c>
    </row>
    <row r="6" spans="1:11" x14ac:dyDescent="0.25">
      <c r="A6" t="s">
        <v>52</v>
      </c>
      <c r="B6" t="s">
        <v>53</v>
      </c>
      <c r="C6" t="s">
        <v>38</v>
      </c>
      <c r="D6" t="s">
        <v>54</v>
      </c>
      <c r="E6" t="s">
        <v>48</v>
      </c>
      <c r="F6" t="s">
        <v>27</v>
      </c>
      <c r="G6" t="s">
        <v>28</v>
      </c>
      <c r="H6" t="s">
        <v>29</v>
      </c>
      <c r="I6" t="s">
        <v>52</v>
      </c>
      <c r="J6" s="2"/>
      <c r="K6" s="2" t="str">
        <f t="shared" si="0"/>
        <v>&lt;Component C_Type="Drawing" C_CODE="A0907.00" C_REV="B" C_Data="01_01_1970" C_STATUS="Active" C_Designer="Bartola" C_TwoD="A0907.00_B-NASTRO-C45_2.5X109.CATDrawing" C_Three_D="" &gt; A0907.00_B-NASTRO-C45_2.5X109.CATDrawing &lt;/Component&gt;</v>
      </c>
    </row>
    <row r="7" spans="1:11" x14ac:dyDescent="0.25">
      <c r="A7" t="s">
        <v>266</v>
      </c>
      <c r="B7" t="s">
        <v>267</v>
      </c>
      <c r="C7" t="s">
        <v>38</v>
      </c>
      <c r="D7" t="s">
        <v>268</v>
      </c>
      <c r="E7" t="s">
        <v>95</v>
      </c>
      <c r="F7" t="s">
        <v>27</v>
      </c>
      <c r="G7" t="s">
        <v>28</v>
      </c>
      <c r="H7" t="s">
        <v>29</v>
      </c>
      <c r="I7" t="s">
        <v>266</v>
      </c>
      <c r="J7" t="s">
        <v>267</v>
      </c>
      <c r="K7" s="2" t="str">
        <f t="shared" si="0"/>
        <v>&lt;Component C_Type="Drawing" C_CODE="B3402_01" C_REV="NULL" C_Data="01_01_1970" C_STATUS="Active" C_Designer="Bartola" C_TwoD="B3402_01_AtoB_CONNETTORE_COSTAMPATO_DIRITTO_20150731.CATDrawing" C_Three_D="B3402_01_AtoB_CONNETTORE_COSTAMPATO_DIRITTO_20150731" &gt; B3402_01_AtoB_CONNETTORE_COSTAMPATO_DIRITTO_20150731.CATDrawing &lt;/Component&gt;</v>
      </c>
    </row>
    <row r="8" spans="1:11" x14ac:dyDescent="0.25">
      <c r="A8" s="5" t="s">
        <v>290</v>
      </c>
      <c r="B8" t="s">
        <v>291</v>
      </c>
      <c r="C8" t="s">
        <v>38</v>
      </c>
      <c r="D8" t="s">
        <v>292</v>
      </c>
      <c r="E8" t="s">
        <v>40</v>
      </c>
      <c r="F8" t="s">
        <v>27</v>
      </c>
      <c r="G8" t="s">
        <v>293</v>
      </c>
      <c r="H8" t="s">
        <v>29</v>
      </c>
      <c r="I8" s="5" t="s">
        <v>290</v>
      </c>
      <c r="J8" s="5" t="s">
        <v>294</v>
      </c>
      <c r="K8" s="2" t="str">
        <f t="shared" si="0"/>
        <v>&lt;Component C_Type="Drawing" C_CODE="B3729_02" C_REV="C" C_Data="01_01_1970" C_STATUS="Obsolete" C_Designer="Bartola" C_TwoD="B3729_02_C_PIASTRA_SUP_TOUAREG_20150914.CATDrawing" C_Three_D="B3729_02_C_PIASTRA_SUP_TOUAREG_20150914.CATPart" &gt; B3729_02_C_PIASTRA_SUP_TOUAREG_20150914.CATDrawing &lt;/Component&gt;</v>
      </c>
    </row>
    <row r="9" spans="1:11" x14ac:dyDescent="0.25">
      <c r="A9" t="s">
        <v>269</v>
      </c>
      <c r="B9" t="s">
        <v>270</v>
      </c>
      <c r="C9" t="s">
        <v>38</v>
      </c>
      <c r="D9" t="s">
        <v>271</v>
      </c>
      <c r="E9" t="s">
        <v>95</v>
      </c>
      <c r="F9" t="s">
        <v>272</v>
      </c>
      <c r="G9" t="s">
        <v>28</v>
      </c>
      <c r="H9" t="s">
        <v>29</v>
      </c>
      <c r="I9" t="s">
        <v>269</v>
      </c>
      <c r="J9" t="s">
        <v>273</v>
      </c>
      <c r="K9" s="2" t="str">
        <f t="shared" si="0"/>
        <v>&lt;Component C_Type="Drawing" C_CODE="B3729_03" C_REV="NULL" C_Data="25_09_2015" C_STATUS="Active" C_Designer="Bartola" C_TwoD="B3729_03_PIASTRA_SUP_TOUAREG_20150925.CATDrawing" C_Three_D="B3729_03_PIASTRA_SUP_TOUAREG_20150925.CATPart" &gt; B3729_03_PIASTRA_SUP_TOUAREG_20150925.CATDrawing &lt;/Component&gt;</v>
      </c>
    </row>
    <row r="10" spans="1:11" x14ac:dyDescent="0.25">
      <c r="A10" t="s">
        <v>55</v>
      </c>
      <c r="B10" t="s">
        <v>56</v>
      </c>
      <c r="C10" t="s">
        <v>38</v>
      </c>
      <c r="D10" t="s">
        <v>57</v>
      </c>
      <c r="E10" t="s">
        <v>58</v>
      </c>
      <c r="F10" t="s">
        <v>27</v>
      </c>
      <c r="G10" t="s">
        <v>28</v>
      </c>
      <c r="H10" t="s">
        <v>29</v>
      </c>
      <c r="I10" t="s">
        <v>55</v>
      </c>
      <c r="J10" t="s">
        <v>59</v>
      </c>
      <c r="K10" s="2" t="str">
        <f t="shared" si="0"/>
        <v>&lt;Component C_Type="Drawing" C_CODE="B4353.01" C_REV="G" C_Data="01_01_1970" C_STATUS="Active" C_Designer="Bartola" C_TwoD="B4353.01-G-SCATOLA MICRO.CATDrawing" C_Three_D="B4353.01-G-SCATOLA MICRO.CATPart" &gt; B4353.01-G-SCATOLA MICRO.CATDrawing &lt;/Component&gt;</v>
      </c>
    </row>
    <row r="11" spans="1:11" x14ac:dyDescent="0.25">
      <c r="A11" t="s">
        <v>60</v>
      </c>
      <c r="B11" t="s">
        <v>61</v>
      </c>
      <c r="C11" t="s">
        <v>38</v>
      </c>
      <c r="D11" t="s">
        <v>62</v>
      </c>
      <c r="E11" t="s">
        <v>40</v>
      </c>
      <c r="F11" t="s">
        <v>27</v>
      </c>
      <c r="G11" t="s">
        <v>28</v>
      </c>
      <c r="H11" t="s">
        <v>29</v>
      </c>
      <c r="I11" t="s">
        <v>60</v>
      </c>
      <c r="J11" t="s">
        <v>63</v>
      </c>
      <c r="K11" s="2" t="str">
        <f t="shared" si="0"/>
        <v>&lt;Component C_Type="Drawing" C_CODE="B4354.01" C_REV="C" C_Data="01_01_1970" C_STATUS="Active" C_Designer="Bartola" C_TwoD="B4354.01_C-PIASTRA SUPERIORE.CATDrawing" C_Three_D="B4354.01_C-PIASTRA SUPERIORE.CATPart" &gt; B4354.01_C-PIASTRA SUPERIORE.CATDrawing &lt;/Component&gt;</v>
      </c>
    </row>
    <row r="12" spans="1:11" x14ac:dyDescent="0.25">
      <c r="A12" t="s">
        <v>64</v>
      </c>
      <c r="B12" t="s">
        <v>65</v>
      </c>
      <c r="C12" t="s">
        <v>38</v>
      </c>
      <c r="D12" t="s">
        <v>66</v>
      </c>
      <c r="E12" t="s">
        <v>67</v>
      </c>
      <c r="F12" t="s">
        <v>27</v>
      </c>
      <c r="G12" t="s">
        <v>28</v>
      </c>
      <c r="H12" t="s">
        <v>29</v>
      </c>
      <c r="I12" t="s">
        <v>64</v>
      </c>
      <c r="J12" t="s">
        <v>68</v>
      </c>
      <c r="K12" s="2" t="str">
        <f t="shared" si="0"/>
        <v>&lt;Component C_Type="Drawing" C_CODE="B4355.02" C_REV="E" C_Data="01_01_1970" C_STATUS="Active" C_Designer="Bartola" C_TwoD="B4355.02-E-MOLLA AUSILIARIA GANCIO SICUREZZA.CATDrawing" C_Three_D="B4355.02-E-MOLLA AUSILIARIA GANCIO SICUREZZA.CATPart" &gt; B4355.02-E-MOLLA AUSILIARIA GANCIO SICUREZZA.CATDrawing &lt;/Component&gt;</v>
      </c>
    </row>
    <row r="13" spans="1:11" x14ac:dyDescent="0.25">
      <c r="A13" s="5" t="s">
        <v>69</v>
      </c>
      <c r="B13" s="5" t="s">
        <v>70</v>
      </c>
      <c r="C13" s="5" t="s">
        <v>38</v>
      </c>
      <c r="D13" s="5" t="s">
        <v>71</v>
      </c>
      <c r="E13" s="5" t="s">
        <v>48</v>
      </c>
      <c r="F13" s="5" t="s">
        <v>27</v>
      </c>
      <c r="G13" s="5" t="s">
        <v>28</v>
      </c>
      <c r="H13" s="5" t="s">
        <v>29</v>
      </c>
      <c r="I13" s="5" t="s">
        <v>69</v>
      </c>
      <c r="J13" s="5" t="s">
        <v>72</v>
      </c>
      <c r="K13" s="2" t="str">
        <f t="shared" si="0"/>
        <v>&lt;Component C_Type="Drawing" C_CODE="B4356.03" C_REV="B" C_Data="01_01_1970" C_STATUS="Active" C_Designer="Bartola" C_TwoD="B4356.03_B-GANCIO-SICUREZZA-COSTAMPATO.CATDrawing" C_Three_D="B4356.03_B-GANCIO-SICUREZZA-COSTAMPATO.CATPart" &gt; B4356.03_B-GANCIO-SICUREZZA-COSTAMPATO.CATDrawing &lt;/Component&gt;</v>
      </c>
    </row>
    <row r="14" spans="1:11" s="5" customFormat="1" x14ac:dyDescent="0.25">
      <c r="A14" t="s">
        <v>73</v>
      </c>
      <c r="B14" t="s">
        <v>74</v>
      </c>
      <c r="C14" t="s">
        <v>38</v>
      </c>
      <c r="D14" t="s">
        <v>75</v>
      </c>
      <c r="E14" t="s">
        <v>40</v>
      </c>
      <c r="F14" t="s">
        <v>27</v>
      </c>
      <c r="G14" t="s">
        <v>28</v>
      </c>
      <c r="H14" t="s">
        <v>29</v>
      </c>
      <c r="I14" t="s">
        <v>73</v>
      </c>
      <c r="J14" t="s">
        <v>76</v>
      </c>
      <c r="K14" s="2" t="str">
        <f t="shared" si="0"/>
        <v>&lt;Component C_Type="Drawing" C_CODE="B4357.02" C_REV="C" C_Data="01_01_1970" C_STATUS="Active" C_Designer="Bartola" C_TwoD="B4357.02_C-GANCIO COSTAMPATO.CATDrawing" C_Three_D="B4357.02_C-GANCIO COSTAMPATO.CATPart" &gt; B4357.02_C-GANCIO COSTAMPATO.CATDrawing &lt;/Component&gt;</v>
      </c>
    </row>
    <row r="15" spans="1:11" x14ac:dyDescent="0.25">
      <c r="A15" t="s">
        <v>77</v>
      </c>
      <c r="B15" t="s">
        <v>78</v>
      </c>
      <c r="C15" t="s">
        <v>38</v>
      </c>
      <c r="D15" t="s">
        <v>79</v>
      </c>
      <c r="E15" t="s">
        <v>44</v>
      </c>
      <c r="F15" t="s">
        <v>27</v>
      </c>
      <c r="G15" t="s">
        <v>28</v>
      </c>
      <c r="H15" t="s">
        <v>29</v>
      </c>
      <c r="I15" t="s">
        <v>77</v>
      </c>
      <c r="J15" s="2"/>
      <c r="K15" s="2" t="str">
        <f t="shared" si="0"/>
        <v>&lt;Component C_Type="Drawing" C_CODE="B4358.01" C_REV="A" C_Data="01_01_1970" C_STATUS="Active" C_Designer="Bartola" C_TwoD="B4358.01_A- CILINDRO ESPULSORE.CATDrawing" C_Three_D="" &gt; B4358.01_A- CILINDRO ESPULSORE.CATDrawing &lt;/Component&gt;</v>
      </c>
    </row>
    <row r="16" spans="1:11" x14ac:dyDescent="0.25">
      <c r="A16" t="s">
        <v>80</v>
      </c>
      <c r="B16" t="s">
        <v>81</v>
      </c>
      <c r="C16" t="s">
        <v>38</v>
      </c>
      <c r="D16" t="s">
        <v>82</v>
      </c>
      <c r="E16" t="s">
        <v>67</v>
      </c>
      <c r="F16" t="s">
        <v>27</v>
      </c>
      <c r="G16" t="s">
        <v>28</v>
      </c>
      <c r="H16" t="s">
        <v>29</v>
      </c>
      <c r="I16" t="s">
        <v>80</v>
      </c>
      <c r="J16" t="s">
        <v>83</v>
      </c>
      <c r="K16" s="2" t="str">
        <f t="shared" si="0"/>
        <v>&lt;Component C_Type="Drawing" C_CODE="B4359.00" C_REV="E" C_Data="01_01_1970" C_STATUS="Active" C_Designer="Bartola" C_TwoD="B4359.00_E-MOLLA PER ESPULSORE.CATDrawing" C_Three_D="B4359.00_E-MOLLA PER ESPULSORE.CATPart" &gt; B4359.00_E-MOLLA PER ESPULSORE.CATDrawing &lt;/Component&gt;</v>
      </c>
    </row>
    <row r="17" spans="1:11" x14ac:dyDescent="0.25">
      <c r="A17" t="s">
        <v>84</v>
      </c>
      <c r="B17" t="s">
        <v>85</v>
      </c>
      <c r="C17" t="s">
        <v>38</v>
      </c>
      <c r="D17" t="s">
        <v>86</v>
      </c>
      <c r="E17" t="s">
        <v>40</v>
      </c>
      <c r="F17" t="s">
        <v>27</v>
      </c>
      <c r="G17" t="s">
        <v>28</v>
      </c>
      <c r="H17" t="s">
        <v>29</v>
      </c>
      <c r="I17" t="s">
        <v>84</v>
      </c>
      <c r="J17" t="s">
        <v>87</v>
      </c>
      <c r="K17" s="2" t="str">
        <f t="shared" si="0"/>
        <v>&lt;Component C_Type="Drawing" C_CODE="B4360.00" C_REV="C" C_Data="01_01_1970" C_STATUS="Active" C_Designer="Bartola" C_TwoD="B4360.00-C-BUSSOLA ESPULSORE.CATDrawing" C_Three_D="B4360.00-C-BUSSOLA ESPULSORE.CATPart" &gt; B4360.00-C-BUSSOLA ESPULSORE.CATDrawing &lt;/Component&gt;</v>
      </c>
    </row>
    <row r="18" spans="1:11" x14ac:dyDescent="0.25">
      <c r="A18" t="s">
        <v>88</v>
      </c>
      <c r="B18" t="s">
        <v>89</v>
      </c>
      <c r="C18" t="s">
        <v>38</v>
      </c>
      <c r="D18" t="s">
        <v>90</v>
      </c>
      <c r="E18" t="s">
        <v>67</v>
      </c>
      <c r="F18" t="s">
        <v>27</v>
      </c>
      <c r="G18" t="s">
        <v>28</v>
      </c>
      <c r="H18" t="s">
        <v>29</v>
      </c>
      <c r="I18" t="s">
        <v>88</v>
      </c>
      <c r="J18" t="s">
        <v>91</v>
      </c>
      <c r="K18" s="2" t="str">
        <f t="shared" si="0"/>
        <v>&lt;Component C_Type="Drawing" C_CODE="B4361.02" C_REV="E" C_Data="01_01_1970" C_STATUS="Active" C_Designer="Bartola" C_TwoD="B4361.02_E-PIASTRA INFERIORE.CATDrawing" C_Three_D="B4361.02_E-PIASTRA INFERIORE.CATPart" &gt; B4361.02_E-PIASTRA INFERIORE.CATDrawing &lt;/Component&gt;</v>
      </c>
    </row>
    <row r="19" spans="1:11" x14ac:dyDescent="0.25">
      <c r="A19" t="s">
        <v>92</v>
      </c>
      <c r="B19" t="s">
        <v>93</v>
      </c>
      <c r="C19" t="s">
        <v>38</v>
      </c>
      <c r="D19" t="s">
        <v>94</v>
      </c>
      <c r="E19" t="s">
        <v>95</v>
      </c>
      <c r="F19" t="s">
        <v>27</v>
      </c>
      <c r="G19" t="s">
        <v>28</v>
      </c>
      <c r="H19" t="s">
        <v>29</v>
      </c>
      <c r="I19" t="s">
        <v>92</v>
      </c>
      <c r="J19" s="2"/>
      <c r="K19" s="2" t="str">
        <f t="shared" si="0"/>
        <v>&lt;Component C_Type="Drawing" C_CODE="B4362.02" C_REV="NULL" C_Data="01_01_1970" C_STATUS="Active" C_Designer="Bartola" C_TwoD="B4362.02_B2-SALTARELLO TRANCIATO.CATDrawing" C_Three_D="" &gt; B4362.02_B2-SALTARELLO TRANCIATO.CATDrawing &lt;/Component&gt;</v>
      </c>
    </row>
    <row r="20" spans="1:11" x14ac:dyDescent="0.25">
      <c r="A20" t="s">
        <v>96</v>
      </c>
      <c r="B20" t="s">
        <v>97</v>
      </c>
      <c r="C20" t="s">
        <v>33</v>
      </c>
      <c r="D20" t="s">
        <v>98</v>
      </c>
      <c r="E20" t="s">
        <v>95</v>
      </c>
      <c r="F20" t="s">
        <v>27</v>
      </c>
      <c r="G20" t="s">
        <v>28</v>
      </c>
      <c r="H20" t="s">
        <v>29</v>
      </c>
      <c r="I20" s="2" t="s">
        <v>30</v>
      </c>
      <c r="J20" t="s">
        <v>96</v>
      </c>
      <c r="K20" s="2" t="str">
        <f t="shared" si="0"/>
        <v>&lt;Component C_Type="Part" C_CODE="B4362.04" C_REV="NULL" C_Data="01_01_1970" C_STATUS="Active" C_Designer="Bartola" C_TwoD="" C_Three_D="B4362.04_SALTARELLO_TRANCIATO_NUOVO-STAMPO.CATPart" &gt; B4362.04_SALTARELLO_TRANCIATO_NUOVO-STAMPO.CATPart &lt;/Component&gt;</v>
      </c>
    </row>
    <row r="21" spans="1:11" x14ac:dyDescent="0.25">
      <c r="A21" t="s">
        <v>99</v>
      </c>
      <c r="B21" t="s">
        <v>100</v>
      </c>
      <c r="C21" t="s">
        <v>38</v>
      </c>
      <c r="D21" t="s">
        <v>101</v>
      </c>
      <c r="E21" t="s">
        <v>44</v>
      </c>
      <c r="F21" t="s">
        <v>27</v>
      </c>
      <c r="G21" t="s">
        <v>28</v>
      </c>
      <c r="H21" t="s">
        <v>29</v>
      </c>
      <c r="I21" t="s">
        <v>99</v>
      </c>
      <c r="J21" s="2"/>
      <c r="K21" s="2" t="str">
        <f t="shared" si="0"/>
        <v>&lt;Component C_Type="Drawing" C_CODE="B4363.01" C_REV="A" C_Data="01_01_1970" C_STATUS="Active" C_Designer="Bartola" C_TwoD="B4363.01-A-GANCIO TRANCIATO.CATDrawing" C_Three_D="" &gt; B4363.01-A-GANCIO TRANCIATO.CATDrawing &lt;/Component&gt;</v>
      </c>
    </row>
    <row r="22" spans="1:11" x14ac:dyDescent="0.25">
      <c r="A22" t="s">
        <v>102</v>
      </c>
      <c r="B22" t="s">
        <v>103</v>
      </c>
      <c r="C22" t="s">
        <v>33</v>
      </c>
      <c r="D22" t="s">
        <v>104</v>
      </c>
      <c r="E22" t="s">
        <v>40</v>
      </c>
      <c r="F22" t="s">
        <v>27</v>
      </c>
      <c r="G22" t="s">
        <v>28</v>
      </c>
      <c r="H22" t="s">
        <v>29</v>
      </c>
      <c r="I22" s="2" t="s">
        <v>30</v>
      </c>
      <c r="J22" t="s">
        <v>102</v>
      </c>
      <c r="K22" s="2" t="str">
        <f t="shared" si="0"/>
        <v>&lt;Component C_Type="Part" C_CODE="B4364.02" C_REV="C" C_Data="01_01_1970" C_STATUS="Active" C_Designer="Bartola" C_TwoD="" C_Three_D="B4364.02_C-SALTARELLO COSTAMP.CATPart" &gt; B4364.02_C-SALTARELLO COSTAMP.CATPart &lt;/Component&gt;</v>
      </c>
    </row>
    <row r="23" spans="1:11" x14ac:dyDescent="0.25">
      <c r="A23" t="s">
        <v>105</v>
      </c>
      <c r="B23" t="s">
        <v>106</v>
      </c>
      <c r="C23" t="s">
        <v>33</v>
      </c>
      <c r="D23" t="s">
        <v>107</v>
      </c>
      <c r="E23" t="s">
        <v>95</v>
      </c>
      <c r="F23" t="s">
        <v>27</v>
      </c>
      <c r="G23" t="s">
        <v>28</v>
      </c>
      <c r="H23" t="s">
        <v>29</v>
      </c>
      <c r="I23" s="2" t="s">
        <v>30</v>
      </c>
      <c r="J23" t="s">
        <v>105</v>
      </c>
      <c r="K23" s="2" t="str">
        <f t="shared" si="0"/>
        <v>&lt;Component C_Type="Part" C_CODE="B4364.04" C_REV="NULL" C_Data="01_01_1970" C_STATUS="Active" C_Designer="Bartola" C_TwoD="" C_Three_D="B4364.04_SALTARELLO_COSTAMPATO.CATPart" &gt; B4364.04_SALTARELLO_COSTAMPATO.CATPart &lt;/Component&gt;</v>
      </c>
    </row>
    <row r="24" spans="1:11" x14ac:dyDescent="0.25">
      <c r="A24" t="s">
        <v>108</v>
      </c>
      <c r="B24" t="s">
        <v>109</v>
      </c>
      <c r="C24" t="s">
        <v>38</v>
      </c>
      <c r="D24" t="s">
        <v>110</v>
      </c>
      <c r="E24" t="s">
        <v>40</v>
      </c>
      <c r="F24" t="s">
        <v>27</v>
      </c>
      <c r="G24" t="s">
        <v>28</v>
      </c>
      <c r="H24" t="s">
        <v>29</v>
      </c>
      <c r="I24" t="s">
        <v>108</v>
      </c>
      <c r="J24" t="s">
        <v>111</v>
      </c>
      <c r="K24" s="2" t="str">
        <f t="shared" si="0"/>
        <v>&lt;Component C_Type="Drawing" C_CODE="B4366.00" C_REV="C" C_Data="01_01_1970" C_STATUS="Active" C_Designer="Bartola" C_TwoD="B4366.00-C-PERNO SALTARELLO.CATDrawing" C_Three_D="B4366.00-C-PERNO SALTARELLO.CATPart" &gt; B4366.00-C-PERNO SALTARELLO.CATDrawing &lt;/Component&gt;</v>
      </c>
    </row>
    <row r="25" spans="1:11" x14ac:dyDescent="0.25">
      <c r="A25" t="s">
        <v>112</v>
      </c>
      <c r="B25" t="s">
        <v>113</v>
      </c>
      <c r="C25" t="s">
        <v>38</v>
      </c>
      <c r="D25" t="s">
        <v>114</v>
      </c>
      <c r="E25" t="s">
        <v>44</v>
      </c>
      <c r="F25" t="s">
        <v>27</v>
      </c>
      <c r="G25" t="s">
        <v>28</v>
      </c>
      <c r="H25" t="s">
        <v>29</v>
      </c>
      <c r="I25" t="s">
        <v>112</v>
      </c>
      <c r="J25" s="2"/>
      <c r="K25" s="2" t="str">
        <f t="shared" si="0"/>
        <v>&lt;Component C_Type="Drawing" C_CODE="B4366.02" C_REV="A" C_Data="01_01_1970" C_STATUS="Active" C_Designer="Bartola" C_TwoD="B4366.02_A-PERNO SALTARELLO.CATDrawing" C_Three_D="" &gt; B4366.02_A-PERNO SALTARELLO.CATDrawing &lt;/Component&gt;</v>
      </c>
    </row>
    <row r="26" spans="1:11" x14ac:dyDescent="0.25">
      <c r="A26" t="s">
        <v>115</v>
      </c>
      <c r="B26" t="s">
        <v>116</v>
      </c>
      <c r="C26" t="s">
        <v>38</v>
      </c>
      <c r="D26" t="s">
        <v>117</v>
      </c>
      <c r="E26" t="s">
        <v>40</v>
      </c>
      <c r="F26" t="s">
        <v>27</v>
      </c>
      <c r="G26" t="s">
        <v>28</v>
      </c>
      <c r="H26" t="s">
        <v>29</v>
      </c>
      <c r="I26" t="s">
        <v>115</v>
      </c>
      <c r="J26" t="s">
        <v>118</v>
      </c>
      <c r="K26" s="2" t="str">
        <f t="shared" si="0"/>
        <v>&lt;Component C_Type="Drawing" C_CODE="B4367.00" C_REV="C" C_Data="01_01_1970" C_STATUS="Active" C_Designer="Bartola" C_TwoD="B4367.00_C-MOLLA SALTARELLO.CATDrawing" C_Three_D="B4367.00_C-MOLLA SALTARELLO.CATPart" &gt; B4367.00_C-MOLLA SALTARELLO.CATDrawing &lt;/Component&gt;</v>
      </c>
    </row>
    <row r="27" spans="1:11" x14ac:dyDescent="0.25">
      <c r="A27" t="s">
        <v>119</v>
      </c>
      <c r="B27" t="s">
        <v>120</v>
      </c>
      <c r="C27" t="s">
        <v>38</v>
      </c>
      <c r="D27" t="s">
        <v>121</v>
      </c>
      <c r="E27" t="s">
        <v>40</v>
      </c>
      <c r="F27" t="s">
        <v>27</v>
      </c>
      <c r="G27" t="s">
        <v>28</v>
      </c>
      <c r="H27" t="s">
        <v>29</v>
      </c>
      <c r="I27" t="s">
        <v>119</v>
      </c>
      <c r="J27" s="2"/>
      <c r="K27" s="2" t="str">
        <f t="shared" si="0"/>
        <v>&lt;Component C_Type="Drawing" C_CODE="B4369.03" C_REV="C" C_Data="01_01_1970" C_STATUS="Active" C_Designer="Bartola" C_TwoD="B4369.03_C-GANCIO-SICUREZZA-TRANCIATO.CATDrawing" C_Three_D="" &gt; B4369.03_C-GANCIO-SICUREZZA-TRANCIATO.CATDrawing &lt;/Component&gt;</v>
      </c>
    </row>
    <row r="28" spans="1:11" x14ac:dyDescent="0.25">
      <c r="A28" t="s">
        <v>122</v>
      </c>
      <c r="B28" t="s">
        <v>123</v>
      </c>
      <c r="C28" t="s">
        <v>38</v>
      </c>
      <c r="D28" t="s">
        <v>124</v>
      </c>
      <c r="E28" t="s">
        <v>48</v>
      </c>
      <c r="F28" t="s">
        <v>27</v>
      </c>
      <c r="G28" t="s">
        <v>28</v>
      </c>
      <c r="H28" t="s">
        <v>29</v>
      </c>
      <c r="I28" t="s">
        <v>122</v>
      </c>
      <c r="J28" t="s">
        <v>125</v>
      </c>
      <c r="K28" s="2" t="str">
        <f t="shared" si="0"/>
        <v>&lt;Component C_Type="Drawing" C_CODE="B4373.01" C_REV="B" C_Data="01_01_1970" C_STATUS="Active" C_Designer="Bartola" C_TwoD="B4373.01_B-MOLLA GANCIO.CATDrawing" C_Three_D="B4373.01_B-MOLLA GANCIO.CATPart" &gt; B4373.01_B-MOLLA GANCIO.CATDrawing &lt;/Component&gt;</v>
      </c>
    </row>
    <row r="29" spans="1:11" x14ac:dyDescent="0.25">
      <c r="A29" t="s">
        <v>126</v>
      </c>
      <c r="B29" t="s">
        <v>127</v>
      </c>
      <c r="C29" t="s">
        <v>38</v>
      </c>
      <c r="D29" t="s">
        <v>128</v>
      </c>
      <c r="E29" t="s">
        <v>129</v>
      </c>
      <c r="F29" t="s">
        <v>27</v>
      </c>
      <c r="G29" t="s">
        <v>28</v>
      </c>
      <c r="H29" t="s">
        <v>29</v>
      </c>
      <c r="I29" t="s">
        <v>126</v>
      </c>
      <c r="J29" t="s">
        <v>130</v>
      </c>
      <c r="K29" s="2" t="str">
        <f t="shared" si="0"/>
        <v>&lt;Component C_Type="Drawing" C_CODE="B4374.00" C_REV="F" C_Data="01_01_1970" C_STATUS="Active" C_Designer="Bartola" C_TwoD="B4374.00_F-MOLLA GANCIO SICUREZZA.CATDrawing" C_Three_D="B4374.00_F-MOLLA GANCIO SICUREZZA.CATPart" &gt; B4374.00_F-MOLLA GANCIO SICUREZZA.CATDrawing &lt;/Component&gt;</v>
      </c>
    </row>
    <row r="30" spans="1:11" x14ac:dyDescent="0.25">
      <c r="A30" t="s">
        <v>131</v>
      </c>
      <c r="B30" t="s">
        <v>132</v>
      </c>
      <c r="C30" t="s">
        <v>38</v>
      </c>
      <c r="D30" t="s">
        <v>133</v>
      </c>
      <c r="E30" t="s">
        <v>134</v>
      </c>
      <c r="F30" t="s">
        <v>27</v>
      </c>
      <c r="G30" t="s">
        <v>28</v>
      </c>
      <c r="H30" t="s">
        <v>29</v>
      </c>
      <c r="I30" t="s">
        <v>131</v>
      </c>
      <c r="J30" t="s">
        <v>135</v>
      </c>
      <c r="K30" s="2" t="str">
        <f t="shared" si="0"/>
        <v>&lt;Component C_Type="Drawing" C_CODE="B4375.00" C_REV="D" C_Data="01_01_1970" C_STATUS="Active" C_Designer="Bartola" C_TwoD="B4375.00_D-PERNO DOPPIO GANCIO.CATDrawing" C_Three_D="B4375.00_D-PERNO DOPPIO GANCIO.CATPart" &gt; B4375.00_D-PERNO DOPPIO GANCIO.CATDrawing &lt;/Component&gt;</v>
      </c>
    </row>
    <row r="31" spans="1:11" x14ac:dyDescent="0.25">
      <c r="A31" t="s">
        <v>136</v>
      </c>
      <c r="B31" t="s">
        <v>137</v>
      </c>
      <c r="C31" t="s">
        <v>38</v>
      </c>
      <c r="D31" t="s">
        <v>138</v>
      </c>
      <c r="E31" t="s">
        <v>44</v>
      </c>
      <c r="F31" t="s">
        <v>27</v>
      </c>
      <c r="G31" t="s">
        <v>28</v>
      </c>
      <c r="H31" t="s">
        <v>29</v>
      </c>
      <c r="I31" t="s">
        <v>136</v>
      </c>
      <c r="J31" s="2"/>
      <c r="K31" s="2" t="str">
        <f t="shared" si="0"/>
        <v>&lt;Component C_Type="Drawing" C_CODE="B4375.01" C_REV="A" C_Data="01_01_1970" C_STATUS="Active" C_Designer="Bartola" C_TwoD="B4375.01_A-PERNO DOPPIO GANCIO.CATDrawing" C_Three_D="" &gt; B4375.01_A-PERNO DOPPIO GANCIO.CATDrawing &lt;/Component&gt;</v>
      </c>
    </row>
    <row r="32" spans="1:11" x14ac:dyDescent="0.25">
      <c r="A32" s="5" t="s">
        <v>295</v>
      </c>
      <c r="B32" t="s">
        <v>296</v>
      </c>
      <c r="C32" t="s">
        <v>38</v>
      </c>
      <c r="D32" t="s">
        <v>297</v>
      </c>
      <c r="E32" t="s">
        <v>40</v>
      </c>
      <c r="F32" t="s">
        <v>27</v>
      </c>
      <c r="G32" t="s">
        <v>293</v>
      </c>
      <c r="H32" t="s">
        <v>29</v>
      </c>
      <c r="I32" s="5" t="s">
        <v>295</v>
      </c>
      <c r="J32" s="5" t="s">
        <v>298</v>
      </c>
      <c r="K32" s="2" t="str">
        <f t="shared" si="0"/>
        <v>&lt;Component C_Type="Drawing" C_CODE="B4780_00" C_REV="C" C_Data="01_01_1970" C_STATUS="Obsolete" C_Designer="Bartola" C_TwoD="B4780_00_C_COPPRISERRATURA_ALTEA_XL_5P8_827_505_B_20150914.CATDrawing" C_Three_D="B4780_00_C_COPPRISERRATURA_ALTEA_XL_5P8_827_505_B_20150914.CATPart" &gt; B4780_00_C_COPPRISERRATURA_ALTEA_XL_5P8_827_505_B_20150914.CATDrawing &lt;/Component&gt;</v>
      </c>
    </row>
    <row r="33" spans="1:11" x14ac:dyDescent="0.25">
      <c r="A33" t="s">
        <v>274</v>
      </c>
      <c r="B33" t="s">
        <v>275</v>
      </c>
      <c r="C33" t="s">
        <v>38</v>
      </c>
      <c r="D33" t="s">
        <v>276</v>
      </c>
      <c r="E33" t="s">
        <v>95</v>
      </c>
      <c r="F33" t="s">
        <v>272</v>
      </c>
      <c r="G33" t="s">
        <v>28</v>
      </c>
      <c r="H33" t="s">
        <v>29</v>
      </c>
      <c r="I33" t="s">
        <v>274</v>
      </c>
      <c r="J33" t="s">
        <v>277</v>
      </c>
      <c r="K33" s="2" t="str">
        <f t="shared" si="0"/>
        <v>&lt;Component C_Type="Drawing" C_CODE="B4780_01" C_REV="NULL" C_Data="25_09_2015" C_STATUS="Active" C_Designer="Bartola" C_TwoD="B4780_01_COPPRISERRATURA_ALTEA_XL_5P8_827_505_B_20150925.CATDrawing" C_Three_D="B4780_01_COPPRISERRATURA_ALTEA_XL_5P8_827_505_B_20150925.CATPart" &gt; B4780_01_COPPRISERRATURA_ALTEA_XL_5P8_827_505_B_20150925.CATDrawing &lt;/Component&gt;</v>
      </c>
    </row>
    <row r="34" spans="1:11" x14ac:dyDescent="0.25">
      <c r="A34" s="5" t="s">
        <v>299</v>
      </c>
      <c r="B34" t="s">
        <v>300</v>
      </c>
      <c r="C34" t="s">
        <v>38</v>
      </c>
      <c r="D34" t="s">
        <v>301</v>
      </c>
      <c r="E34" t="s">
        <v>44</v>
      </c>
      <c r="F34" t="s">
        <v>27</v>
      </c>
      <c r="G34" t="s">
        <v>293</v>
      </c>
      <c r="H34" t="s">
        <v>29</v>
      </c>
      <c r="I34" s="5" t="s">
        <v>299</v>
      </c>
      <c r="J34" s="5" t="s">
        <v>302</v>
      </c>
      <c r="K34" s="2" t="str">
        <f t="shared" si="0"/>
        <v>&lt;Component C_Type="Drawing" C_CODE="B4781_02" C_REV="A" C_Data="01_01_1970" C_STATUS="Obsolete" C_Designer="Bartola" C_TwoD="B4781_02_A_COPPRISERRATURA_ALTEA_5P0_827_505_F_SMUSSO_20150914.CATDrawing" C_Three_D="B4781_02_A_COPPRISERRATURA_ALTEA_5P0_827_505_F_SMUSSO_20150914.CATPart" &gt; B4781_02_A_COPPRISERRATURA_ALTEA_5P0_827_505_F_SMUSSO_20150914.CATDrawing &lt;/Component&gt;</v>
      </c>
    </row>
    <row r="35" spans="1:11" x14ac:dyDescent="0.25">
      <c r="A35" t="s">
        <v>278</v>
      </c>
      <c r="B35" t="s">
        <v>279</v>
      </c>
      <c r="C35" t="s">
        <v>38</v>
      </c>
      <c r="D35" t="s">
        <v>280</v>
      </c>
      <c r="E35" t="s">
        <v>95</v>
      </c>
      <c r="F35" t="s">
        <v>272</v>
      </c>
      <c r="G35" t="s">
        <v>28</v>
      </c>
      <c r="H35" t="s">
        <v>29</v>
      </c>
      <c r="I35" t="s">
        <v>278</v>
      </c>
      <c r="J35" t="s">
        <v>281</v>
      </c>
      <c r="K35" s="2" t="str">
        <f t="shared" si="0"/>
        <v>&lt;Component C_Type="Drawing" C_CODE="B4781_03" C_REV="NULL" C_Data="25_09_2015" C_STATUS="Active" C_Designer="Bartola" C_TwoD="B4781_03_COPPRISERRATURA_ALTEA_5P0_827_505_F_SMUSSO_20150925.CATDrawing" C_Three_D="B4781_03_COPPRISERRATURA_ALTEA_5P0_827_505_F_SMUSSO_20150925.CATPart" &gt; B4781_03_COPPRISERRATURA_ALTEA_5P0_827_505_F_SMUSSO_20150925.CATDrawing &lt;/Component&gt;</v>
      </c>
    </row>
    <row r="36" spans="1:11" x14ac:dyDescent="0.25">
      <c r="A36" s="5" t="s">
        <v>303</v>
      </c>
      <c r="B36" t="s">
        <v>304</v>
      </c>
      <c r="C36" t="s">
        <v>38</v>
      </c>
      <c r="D36" t="s">
        <v>305</v>
      </c>
      <c r="E36" t="s">
        <v>48</v>
      </c>
      <c r="F36" t="s">
        <v>27</v>
      </c>
      <c r="G36" t="s">
        <v>293</v>
      </c>
      <c r="H36" t="s">
        <v>29</v>
      </c>
      <c r="I36" s="5" t="s">
        <v>303</v>
      </c>
      <c r="J36" s="5" t="s">
        <v>306</v>
      </c>
      <c r="K36" s="2" t="str">
        <f t="shared" si="0"/>
        <v>&lt;Component C_Type="Drawing" C_CODE="B4782_00" C_REV="B" C_Data="01_01_1970" C_STATUS="Obsolete" C_Designer="Bartola" C_TwoD="B4782_00_B_COPPRISERRATURA_TOLEDO_5P5_827_505_B_20150914.CATDrawing" C_Three_D="B4782_00_B_COPPRISERRATURA_TOLEDO_5P5_827_505_B_20150914.CATPart" &gt; B4782_00_B_COPPRISERRATURA_TOLEDO_5P5_827_505_B_20150914.CATDrawing &lt;/Component&gt;</v>
      </c>
    </row>
    <row r="37" spans="1:11" x14ac:dyDescent="0.25">
      <c r="A37" t="s">
        <v>282</v>
      </c>
      <c r="B37" t="s">
        <v>283</v>
      </c>
      <c r="C37" t="s">
        <v>38</v>
      </c>
      <c r="D37" t="s">
        <v>284</v>
      </c>
      <c r="E37" t="s">
        <v>95</v>
      </c>
      <c r="F37" t="s">
        <v>272</v>
      </c>
      <c r="G37" t="s">
        <v>28</v>
      </c>
      <c r="H37" t="s">
        <v>29</v>
      </c>
      <c r="I37" t="s">
        <v>282</v>
      </c>
      <c r="J37" t="s">
        <v>285</v>
      </c>
      <c r="K37" s="2" t="str">
        <f t="shared" si="0"/>
        <v>&lt;Component C_Type="Drawing" C_CODE="B4782_01" C_REV="NULL" C_Data="25_09_2015" C_STATUS="Active" C_Designer="Bartola" C_TwoD="B4782_01_COPPRISERRATURA_TOLEDO_5P5_827_505_B_20150925.CATDrawing" C_Three_D="B4782_01_COPPRISERRATURA_TOLEDO_5P5_827_505_B_20150925.CATPart" &gt; B4782_01_COPPRISERRATURA_TOLEDO_5P5_827_505_B_20150925.CATDrawing &lt;/Component&gt;</v>
      </c>
    </row>
    <row r="38" spans="1:11" x14ac:dyDescent="0.25">
      <c r="A38" s="5" t="s">
        <v>307</v>
      </c>
      <c r="B38" t="s">
        <v>308</v>
      </c>
      <c r="C38" t="s">
        <v>38</v>
      </c>
      <c r="D38" t="s">
        <v>309</v>
      </c>
      <c r="E38" t="s">
        <v>40</v>
      </c>
      <c r="F38" t="s">
        <v>27</v>
      </c>
      <c r="G38" t="s">
        <v>293</v>
      </c>
      <c r="H38" t="s">
        <v>29</v>
      </c>
      <c r="I38" s="5" t="s">
        <v>307</v>
      </c>
      <c r="J38" s="5" t="s">
        <v>310</v>
      </c>
      <c r="K38" s="2" t="str">
        <f t="shared" si="0"/>
        <v>&lt;Component C_Type="Drawing" C_CODE="B4783_00" C_REV="C" C_Data="01_01_1970" C_STATUS="Obsolete" C_Designer="Bartola" C_TwoD="B4783_00_C_COPPRISERRATURA_LEON_1P0_827_505_D_20150914.CATDrawing" C_Three_D="B4783_00_C_COPPRISERRATURA_LEON_1P0_827_505_D_20150914.CATPart" &gt; B4783_00_C_COPPRISERRATURA_LEON_1P0_827_505_D_20150914.CATDrawing &lt;/Component&gt;</v>
      </c>
    </row>
    <row r="39" spans="1:11" x14ac:dyDescent="0.25">
      <c r="A39" t="s">
        <v>286</v>
      </c>
      <c r="B39" t="s">
        <v>287</v>
      </c>
      <c r="C39" t="s">
        <v>38</v>
      </c>
      <c r="D39" t="s">
        <v>288</v>
      </c>
      <c r="E39" t="s">
        <v>95</v>
      </c>
      <c r="F39" t="s">
        <v>272</v>
      </c>
      <c r="G39" t="s">
        <v>28</v>
      </c>
      <c r="H39" t="s">
        <v>29</v>
      </c>
      <c r="I39" t="s">
        <v>286</v>
      </c>
      <c r="J39" t="s">
        <v>289</v>
      </c>
      <c r="K39" s="2" t="str">
        <f t="shared" si="0"/>
        <v>&lt;Component C_Type="Drawing" C_CODE="B4783_01" C_REV="NULL" C_Data="25_09_2015" C_STATUS="Active" C_Designer="Bartola" C_TwoD="B4783_01_COPPRISERRATURA_LEON_1P0_827_505_D_20150925.CATDrawing" C_Three_D="B4783_01_COPPRISERRATURA_LEON_1P0_827_505_D_20150925.CATPart" &gt; B4783_01_COPPRISERRATURA_LEON_1P0_827_505_D_20150925.CATDrawing &lt;/Component&gt;</v>
      </c>
    </row>
    <row r="40" spans="1:11" x14ac:dyDescent="0.25">
      <c r="A40" t="s">
        <v>139</v>
      </c>
      <c r="B40" t="s">
        <v>140</v>
      </c>
      <c r="C40" t="s">
        <v>38</v>
      </c>
      <c r="D40" t="s">
        <v>141</v>
      </c>
      <c r="E40" t="s">
        <v>48</v>
      </c>
      <c r="F40" t="s">
        <v>27</v>
      </c>
      <c r="G40" t="s">
        <v>28</v>
      </c>
      <c r="H40" t="s">
        <v>29</v>
      </c>
      <c r="I40" t="s">
        <v>139</v>
      </c>
      <c r="J40" s="2"/>
      <c r="K40" s="2" t="str">
        <f t="shared" si="0"/>
        <v>&lt;Component C_Type="Drawing" C_CODE="B5264.00" C_REV="B" C_Data="01_01_1970" C_STATUS="Active" C_Designer="Bartola" C_TwoD="B5264.00_B-PREASSEMBLAGGIO PRIMA RULLATURA.CATDrawing" C_Three_D="" &gt; B5264.00_B-PREASSEMBLAGGIO PRIMA RULLATURA.CATDrawing &lt;/Component&gt;</v>
      </c>
    </row>
    <row r="41" spans="1:11" x14ac:dyDescent="0.25">
      <c r="A41" t="s">
        <v>142</v>
      </c>
      <c r="B41" t="s">
        <v>143</v>
      </c>
      <c r="C41" t="s">
        <v>38</v>
      </c>
      <c r="D41" t="s">
        <v>144</v>
      </c>
      <c r="E41" t="s">
        <v>48</v>
      </c>
      <c r="F41" t="s">
        <v>27</v>
      </c>
      <c r="G41" t="s">
        <v>28</v>
      </c>
      <c r="H41" t="s">
        <v>29</v>
      </c>
      <c r="I41" t="s">
        <v>142</v>
      </c>
      <c r="J41" s="2"/>
      <c r="K41" s="2" t="str">
        <f t="shared" si="0"/>
        <v>&lt;Component C_Type="Drawing" C_CODE="B5265.00" C_REV="B" C_Data="01_01_1970" C_STATUS="Active" C_Designer="Bartola" C_TwoD="B5265.00_B-PREASSEMBLAGGIO SECONDA RULLATURA.CATDrawing" C_Three_D="" &gt; B5265.00_B-PREASSEMBLAGGIO SECONDA RULLATURA.CATDrawing &lt;/Component&gt;</v>
      </c>
    </row>
    <row r="42" spans="1:11" x14ac:dyDescent="0.25">
      <c r="A42" t="s">
        <v>145</v>
      </c>
      <c r="B42" t="s">
        <v>146</v>
      </c>
      <c r="C42" t="s">
        <v>38</v>
      </c>
      <c r="D42" t="s">
        <v>147</v>
      </c>
      <c r="E42" t="s">
        <v>44</v>
      </c>
      <c r="F42" t="s">
        <v>27</v>
      </c>
      <c r="G42" t="s">
        <v>28</v>
      </c>
      <c r="H42" t="s">
        <v>29</v>
      </c>
      <c r="I42" t="s">
        <v>145</v>
      </c>
      <c r="J42" s="2"/>
      <c r="K42" s="2" t="str">
        <f t="shared" si="0"/>
        <v>&lt;Component C_Type="Drawing" C_CODE="B5475.00" C_REV="A" C_Data="01_01_1970" C_STATUS="Active" C_Designer="Bartola" C_TwoD="B5475.00_A-CONNETTORE COSTAMPATO-PER-8W0.953.236.CATDrawing" C_Three_D="" &gt; B5475.00_A-CONNETTORE COSTAMPATO-PER-8W0.953.236.CATDrawing &lt;/Component&gt;</v>
      </c>
    </row>
    <row r="43" spans="1:11" x14ac:dyDescent="0.25">
      <c r="A43" t="s">
        <v>148</v>
      </c>
      <c r="B43" t="s">
        <v>149</v>
      </c>
      <c r="C43" t="s">
        <v>38</v>
      </c>
      <c r="D43" t="s">
        <v>150</v>
      </c>
      <c r="E43" t="s">
        <v>44</v>
      </c>
      <c r="F43" t="s">
        <v>27</v>
      </c>
      <c r="G43" t="s">
        <v>28</v>
      </c>
      <c r="H43" t="s">
        <v>29</v>
      </c>
      <c r="I43" t="s">
        <v>148</v>
      </c>
      <c r="J43" s="2"/>
      <c r="K43" s="2" t="str">
        <f t="shared" si="0"/>
        <v>&lt;Component C_Type="Drawing" C_CODE="B5478.00" C_REV="A" C_Data="01_01_1970" C_STATUS="Active" C_Designer="Bartola" C_TwoD="B5478.00_A-CONNETTORE COSTAMPATO-PER-3V0.953.236-.CATDrawing" C_Three_D="" &gt; B5478.00_A-CONNETTORE COSTAMPATO-PER-3V0.953.236-.CATDrawing &lt;/Component&gt;</v>
      </c>
    </row>
    <row r="44" spans="1:11" x14ac:dyDescent="0.25">
      <c r="A44" t="s">
        <v>151</v>
      </c>
      <c r="B44" t="s">
        <v>152</v>
      </c>
      <c r="C44" t="s">
        <v>38</v>
      </c>
      <c r="D44" t="s">
        <v>153</v>
      </c>
      <c r="E44" t="s">
        <v>44</v>
      </c>
      <c r="F44" t="s">
        <v>27</v>
      </c>
      <c r="G44" t="s">
        <v>28</v>
      </c>
      <c r="H44" t="s">
        <v>29</v>
      </c>
      <c r="I44" t="s">
        <v>151</v>
      </c>
      <c r="J44" s="2"/>
      <c r="K44" s="2" t="str">
        <f t="shared" si="0"/>
        <v>&lt;Component C_Type="Drawing" C_CODE="B5481.00" C_REV="A" C_Data="01_01_1970" C_STATUS="Active" C_Designer="Bartola" C_TwoD="B5481.00_A-CONNETTORE COSTAMPATO-PER-4M0.953.236-.CATDrawing" C_Three_D="" &gt; B5481.00_A-CONNETTORE COSTAMPATO-PER-4M0.953.236-.CATDrawing &lt;/Component&gt;</v>
      </c>
    </row>
    <row r="45" spans="1:11" x14ac:dyDescent="0.25">
      <c r="A45" t="s">
        <v>154</v>
      </c>
      <c r="B45" t="s">
        <v>155</v>
      </c>
      <c r="C45" t="s">
        <v>38</v>
      </c>
      <c r="D45" t="s">
        <v>156</v>
      </c>
      <c r="E45" t="s">
        <v>95</v>
      </c>
      <c r="F45" t="s">
        <v>27</v>
      </c>
      <c r="G45" t="s">
        <v>28</v>
      </c>
      <c r="H45" t="s">
        <v>29</v>
      </c>
      <c r="I45" t="s">
        <v>154</v>
      </c>
      <c r="J45" s="2"/>
      <c r="K45" s="2" t="str">
        <f t="shared" si="0"/>
        <v>&lt;Component C_Type="Drawing" C_CODE="B5767.03" C_REV="NULL" C_Data="01_01_1970" C_STATUS="Active" C_Designer="Bartola" C_TwoD="B5767.03-Piastra_inferiore_tratt_superf.CATDrawing" C_Three_D="" &gt; B5767.03-Piastra_inferiore_tratt_superf.CATDrawing &lt;/Component&gt;</v>
      </c>
    </row>
    <row r="46" spans="1:11" x14ac:dyDescent="0.25">
      <c r="A46" t="s">
        <v>157</v>
      </c>
      <c r="B46" t="s">
        <v>158</v>
      </c>
      <c r="C46" t="s">
        <v>38</v>
      </c>
      <c r="D46" t="s">
        <v>159</v>
      </c>
      <c r="E46" t="s">
        <v>95</v>
      </c>
      <c r="F46" t="s">
        <v>27</v>
      </c>
      <c r="G46" t="s">
        <v>28</v>
      </c>
      <c r="H46" t="s">
        <v>29</v>
      </c>
      <c r="I46" t="s">
        <v>157</v>
      </c>
      <c r="J46" s="2"/>
      <c r="K46" s="2" t="str">
        <f t="shared" si="0"/>
        <v>&lt;Component C_Type="Drawing" C_CODE="B5768.02" C_REV="NULL" C_Data="01_01_1970" C_STATUS="Active" C_Designer="Bartola" C_TwoD="B5768.02_Piastra_superiore_tratt_superf.CATDrawing" C_Three_D="" &gt; B5768.02_Piastra_superiore_tratt_superf.CATDrawing &lt;/Component&gt;</v>
      </c>
    </row>
    <row r="47" spans="1:11" x14ac:dyDescent="0.25">
      <c r="A47" t="s">
        <v>160</v>
      </c>
      <c r="B47" t="s">
        <v>161</v>
      </c>
      <c r="C47" t="s">
        <v>38</v>
      </c>
      <c r="D47" t="s">
        <v>162</v>
      </c>
      <c r="E47" t="s">
        <v>48</v>
      </c>
      <c r="F47" t="s">
        <v>27</v>
      </c>
      <c r="G47" t="s">
        <v>28</v>
      </c>
      <c r="H47" t="s">
        <v>29</v>
      </c>
      <c r="I47" t="s">
        <v>160</v>
      </c>
      <c r="J47" s="2"/>
      <c r="K47" s="2" t="str">
        <f t="shared" si="0"/>
        <v>&lt;Component C_Type="Drawing" C_CODE="B5769.02" C_REV="B" C_Data="01_01_1970" C_STATUS="Active" C_Designer="Bartola" C_TwoD="B5769.02-B-SALTARELLO TRATTAMENTO TERMICO.CATDrawing" C_Three_D="" &gt; B5769.02-B-SALTARELLO TRATTAMENTO TERMICO.CATDrawing &lt;/Component&gt;</v>
      </c>
    </row>
    <row r="48" spans="1:11" x14ac:dyDescent="0.25">
      <c r="A48" t="s">
        <v>163</v>
      </c>
      <c r="B48" t="s">
        <v>164</v>
      </c>
      <c r="C48" t="s">
        <v>38</v>
      </c>
      <c r="D48" t="s">
        <v>165</v>
      </c>
      <c r="E48" t="s">
        <v>44</v>
      </c>
      <c r="F48" t="s">
        <v>27</v>
      </c>
      <c r="G48" t="s">
        <v>28</v>
      </c>
      <c r="H48" t="s">
        <v>29</v>
      </c>
      <c r="I48" t="s">
        <v>163</v>
      </c>
      <c r="J48" s="2"/>
      <c r="K48" s="2" t="str">
        <f t="shared" si="0"/>
        <v>&lt;Component C_Type="Drawing" C_CODE="B5770.02" C_REV="A" C_Data="01_01_1970" C_STATUS="Active" C_Designer="Bartola" C_TwoD="B5770.02_A-SALTARELLO-TRATTAMENTO SUPERFICIALE.CATDrawing" C_Three_D="" &gt; B5770.02_A-SALTARELLO-TRATTAMENTO SUPERFICIALE.CATDrawing &lt;/Component&gt;</v>
      </c>
    </row>
    <row r="49" spans="1:11" x14ac:dyDescent="0.25">
      <c r="A49" t="s">
        <v>166</v>
      </c>
      <c r="B49" t="s">
        <v>167</v>
      </c>
      <c r="C49" t="s">
        <v>38</v>
      </c>
      <c r="D49" t="s">
        <v>168</v>
      </c>
      <c r="E49" t="s">
        <v>44</v>
      </c>
      <c r="F49" t="s">
        <v>27</v>
      </c>
      <c r="G49" t="s">
        <v>28</v>
      </c>
      <c r="H49" t="s">
        <v>29</v>
      </c>
      <c r="I49" t="s">
        <v>166</v>
      </c>
      <c r="J49" s="2"/>
      <c r="K49" s="2" t="str">
        <f t="shared" si="0"/>
        <v>&lt;Component C_Type="Drawing" C_CODE="B5771.01" C_REV="A" C_Data="01_01_1970" C_STATUS="Active" C_Designer="Bartola" C_TwoD="B5771.01_A-GANCIO TRATTAMENTO TERMICO.CATDrawing" C_Three_D="" &gt; B5771.01_A-GANCIO TRATTAMENTO TERMICO.CATDrawing &lt;/Component&gt;</v>
      </c>
    </row>
    <row r="50" spans="1:11" x14ac:dyDescent="0.25">
      <c r="A50" t="s">
        <v>169</v>
      </c>
      <c r="B50" t="s">
        <v>170</v>
      </c>
      <c r="C50" t="s">
        <v>38</v>
      </c>
      <c r="D50" t="s">
        <v>171</v>
      </c>
      <c r="E50" t="s">
        <v>44</v>
      </c>
      <c r="F50" t="s">
        <v>27</v>
      </c>
      <c r="G50" t="s">
        <v>28</v>
      </c>
      <c r="H50" t="s">
        <v>29</v>
      </c>
      <c r="I50" t="s">
        <v>169</v>
      </c>
      <c r="J50" s="2"/>
      <c r="K50" s="2" t="str">
        <f t="shared" si="0"/>
        <v>&lt;Component C_Type="Drawing" C_CODE="B5772.01" C_REV="A" C_Data="01_01_1970" C_STATUS="Active" C_Designer="Bartola" C_TwoD="B5772.01_A-GANCIO TRATTAMENTO SUPERFICIALE.CATDrawing" C_Three_D="" &gt; B5772.01_A-GANCIO TRATTAMENTO SUPERFICIALE.CATDrawing &lt;/Component&gt;</v>
      </c>
    </row>
    <row r="51" spans="1:11" x14ac:dyDescent="0.25">
      <c r="A51" t="s">
        <v>172</v>
      </c>
      <c r="B51" t="s">
        <v>173</v>
      </c>
      <c r="C51" t="s">
        <v>38</v>
      </c>
      <c r="D51" t="s">
        <v>174</v>
      </c>
      <c r="E51" t="s">
        <v>44</v>
      </c>
      <c r="F51" t="s">
        <v>27</v>
      </c>
      <c r="G51" t="s">
        <v>28</v>
      </c>
      <c r="H51" t="s">
        <v>29</v>
      </c>
      <c r="I51" t="s">
        <v>172</v>
      </c>
      <c r="J51" s="2"/>
      <c r="K51" s="2" t="str">
        <f t="shared" si="0"/>
        <v>&lt;Component C_Type="Drawing" C_CODE="B5773.00" C_REV="A" C_Data="01_01_1970" C_STATUS="Active" C_Designer="Bartola" C_TwoD="B5773.00_A-PERNO DOPPIO GANCIO TRATTATO.CATDrawing" C_Three_D="" &gt; B5773.00_A-PERNO DOPPIO GANCIO TRATTATO.CATDrawing &lt;/Component&gt;</v>
      </c>
    </row>
    <row r="52" spans="1:11" x14ac:dyDescent="0.25">
      <c r="A52" t="s">
        <v>175</v>
      </c>
      <c r="B52" t="s">
        <v>176</v>
      </c>
      <c r="C52" t="s">
        <v>38</v>
      </c>
      <c r="D52" t="s">
        <v>177</v>
      </c>
      <c r="E52" t="s">
        <v>95</v>
      </c>
      <c r="F52" t="s">
        <v>27</v>
      </c>
      <c r="G52" t="s">
        <v>28</v>
      </c>
      <c r="H52" t="s">
        <v>29</v>
      </c>
      <c r="I52" t="s">
        <v>175</v>
      </c>
      <c r="J52" s="2"/>
      <c r="K52" s="2" t="str">
        <f t="shared" si="0"/>
        <v>&lt;Component C_Type="Drawing" C_CODE="B5773.01" C_REV="NULL" C_Data="01_01_1970" C_STATUS="Active" C_Designer="Bartola" C_TwoD="B5773.01-PERNO DOPPIO GANCIO TRATTATO.CATDrawing" C_Three_D="" &gt; B5773.01-PERNO DOPPIO GANCIO TRATTATO.CATDrawing &lt;/Component&gt;</v>
      </c>
    </row>
    <row r="53" spans="1:11" x14ac:dyDescent="0.25">
      <c r="A53" t="s">
        <v>178</v>
      </c>
      <c r="B53" t="s">
        <v>179</v>
      </c>
      <c r="C53" t="s">
        <v>38</v>
      </c>
      <c r="D53" t="s">
        <v>180</v>
      </c>
      <c r="E53" t="s">
        <v>44</v>
      </c>
      <c r="F53" t="s">
        <v>27</v>
      </c>
      <c r="G53" t="s">
        <v>28</v>
      </c>
      <c r="H53" t="s">
        <v>29</v>
      </c>
      <c r="I53" t="s">
        <v>178</v>
      </c>
      <c r="J53" s="2"/>
      <c r="K53" s="2" t="str">
        <f t="shared" si="0"/>
        <v>&lt;Component C_Type="Drawing" C_CODE="B5774.00" C_REV="A" C_Data="01_01_1970" C_STATUS="Active" C_Designer="Bartola" C_TwoD="B5774.00_A-PERNO SALTARELLO TRATTATO.CATDrawing" C_Three_D="" &gt; B5774.00_A-PERNO SALTARELLO TRATTATO.CATDrawing &lt;/Component&gt;</v>
      </c>
    </row>
    <row r="54" spans="1:11" x14ac:dyDescent="0.25">
      <c r="A54" t="s">
        <v>181</v>
      </c>
      <c r="B54" t="s">
        <v>182</v>
      </c>
      <c r="C54" t="s">
        <v>38</v>
      </c>
      <c r="D54" t="s">
        <v>183</v>
      </c>
      <c r="E54" t="s">
        <v>95</v>
      </c>
      <c r="F54" t="s">
        <v>27</v>
      </c>
      <c r="G54" t="s">
        <v>28</v>
      </c>
      <c r="H54" t="s">
        <v>29</v>
      </c>
      <c r="I54" t="s">
        <v>181</v>
      </c>
      <c r="J54" s="2"/>
      <c r="K54" s="2" t="str">
        <f t="shared" si="0"/>
        <v>&lt;Component C_Type="Drawing" C_CODE="B5774.02" C_REV="NULL" C_Data="01_01_1970" C_STATUS="Active" C_Designer="Bartola" C_TwoD="B5774.02-PERNO SALTARELLO TRATTATO.CATDrawing" C_Three_D="" &gt; B5774.02-PERNO SALTARELLO TRATTATO.CATDrawing &lt;/Component&gt;</v>
      </c>
    </row>
    <row r="55" spans="1:11" x14ac:dyDescent="0.25">
      <c r="A55" t="s">
        <v>184</v>
      </c>
      <c r="B55" t="s">
        <v>185</v>
      </c>
      <c r="C55" t="s">
        <v>38</v>
      </c>
      <c r="D55" t="s">
        <v>186</v>
      </c>
      <c r="E55" t="s">
        <v>44</v>
      </c>
      <c r="F55" t="s">
        <v>27</v>
      </c>
      <c r="G55" t="s">
        <v>28</v>
      </c>
      <c r="H55" t="s">
        <v>29</v>
      </c>
      <c r="I55" t="s">
        <v>184</v>
      </c>
      <c r="J55" s="2"/>
      <c r="K55" s="2" t="str">
        <f t="shared" si="0"/>
        <v>&lt;Component C_Type="Drawing" C_CODE="B5775.03" C_REV="A" C_Data="01_01_1970" C_STATUS="Active" C_Designer="Bartola" C_TwoD="B5775.03_A-GANCIO SICUREZZA TRATTAMENTO SUPERFICIALE.CATDrawing" C_Three_D="" &gt; B5775.03_A-GANCIO SICUREZZA TRATTAMENTO SUPERFICIALE.CATDrawing &lt;/Component&gt;</v>
      </c>
    </row>
    <row r="56" spans="1:11" x14ac:dyDescent="0.25">
      <c r="A56" t="s">
        <v>187</v>
      </c>
      <c r="B56" t="s">
        <v>188</v>
      </c>
      <c r="C56" t="s">
        <v>38</v>
      </c>
      <c r="D56" t="s">
        <v>189</v>
      </c>
      <c r="E56" t="s">
        <v>134</v>
      </c>
      <c r="F56" t="s">
        <v>27</v>
      </c>
      <c r="G56" t="s">
        <v>28</v>
      </c>
      <c r="H56" t="s">
        <v>29</v>
      </c>
      <c r="I56" t="s">
        <v>187</v>
      </c>
      <c r="J56" s="2"/>
      <c r="K56" s="2" t="str">
        <f t="shared" si="0"/>
        <v>&lt;Component C_Type="Drawing" C_CODE="B5779.00" C_REV="D" C_Data="01_01_1970" C_STATUS="Active" C_Designer="Bartola" C_TwoD="B5779.00-D-MICRO IMC ZIPPY NO POST.CATDrawing" C_Three_D="" &gt; B5779.00-D-MICRO IMC ZIPPY NO POST.CATDrawing &lt;/Component&gt;</v>
      </c>
    </row>
    <row r="57" spans="1:11" x14ac:dyDescent="0.25">
      <c r="A57" t="s">
        <v>190</v>
      </c>
      <c r="B57" t="s">
        <v>191</v>
      </c>
      <c r="C57" t="s">
        <v>38</v>
      </c>
      <c r="D57" t="s">
        <v>192</v>
      </c>
      <c r="E57" t="s">
        <v>48</v>
      </c>
      <c r="F57" t="s">
        <v>27</v>
      </c>
      <c r="G57" t="s">
        <v>28</v>
      </c>
      <c r="H57" t="s">
        <v>29</v>
      </c>
      <c r="I57" t="s">
        <v>190</v>
      </c>
      <c r="J57" s="2"/>
      <c r="K57" s="2" t="str">
        <f t="shared" si="0"/>
        <v>&lt;Component C_Type="Drawing" C_CODE="B5780.00" C_REV="B" C_Data="01_01_1970" C_STATUS="Active" C_Designer="Bartola" C_TwoD="B5780.00-B-CONNETTORE COSTAMPATO-PER-918.953.236.00.CATDrawing" C_Three_D="" &gt; B5780.00-B-CONNETTORE COSTAMPATO-PER-918.953.236.00.CATDrawing &lt;/Component&gt;</v>
      </c>
    </row>
    <row r="58" spans="1:11" x14ac:dyDescent="0.25">
      <c r="A58" t="s">
        <v>193</v>
      </c>
      <c r="B58" t="s">
        <v>194</v>
      </c>
      <c r="C58" t="s">
        <v>38</v>
      </c>
      <c r="D58" t="s">
        <v>195</v>
      </c>
      <c r="E58" t="s">
        <v>134</v>
      </c>
      <c r="F58" t="s">
        <v>27</v>
      </c>
      <c r="G58" t="s">
        <v>28</v>
      </c>
      <c r="H58" t="s">
        <v>29</v>
      </c>
      <c r="I58" t="s">
        <v>193</v>
      </c>
      <c r="J58" s="2"/>
      <c r="K58" s="2" t="str">
        <f t="shared" si="0"/>
        <v>&lt;Component C_Type="Drawing" C_CODE="B5784.00" C_REV="D" C_Data="01_01_1970" C_STATUS="Active" C_Designer="Bartola" C_TwoD="B5784.00-D-MOLLA PER ESPULSORE 40-70N.CATDrawing" C_Three_D="" &gt; B5784.00-D-MOLLA PER ESPULSORE 40-70N.CATDrawing &lt;/Component&gt;</v>
      </c>
    </row>
    <row r="59" spans="1:11" x14ac:dyDescent="0.25">
      <c r="A59" t="s">
        <v>196</v>
      </c>
      <c r="B59" t="s">
        <v>197</v>
      </c>
      <c r="C59" t="s">
        <v>38</v>
      </c>
      <c r="D59" t="s">
        <v>198</v>
      </c>
      <c r="E59" t="s">
        <v>48</v>
      </c>
      <c r="F59" t="s">
        <v>27</v>
      </c>
      <c r="G59" t="s">
        <v>28</v>
      </c>
      <c r="H59" t="s">
        <v>29</v>
      </c>
      <c r="I59" t="s">
        <v>196</v>
      </c>
      <c r="J59" s="2"/>
      <c r="K59" s="2" t="str">
        <f t="shared" si="0"/>
        <v>&lt;Component C_Type="Drawing" C_CODE="B5829.01" C_REV="B" C_Data="01_01_1970" C_STATUS="Active" C_Designer="Bartola" C_TwoD="B5829.01_B-CONNETTORE COSTAMPATO-PER-8S0.953.236-.CATDrawing" C_Three_D="" &gt; B5829.01_B-CONNETTORE COSTAMPATO-PER-8S0.953.236-.CATDrawing &lt;/Component&gt;</v>
      </c>
    </row>
    <row r="60" spans="1:11" x14ac:dyDescent="0.25">
      <c r="A60" t="s">
        <v>199</v>
      </c>
      <c r="B60" t="s">
        <v>200</v>
      </c>
      <c r="C60" t="s">
        <v>38</v>
      </c>
      <c r="D60" t="s">
        <v>201</v>
      </c>
      <c r="E60" t="s">
        <v>44</v>
      </c>
      <c r="F60" t="s">
        <v>27</v>
      </c>
      <c r="G60" t="s">
        <v>28</v>
      </c>
      <c r="H60" t="s">
        <v>29</v>
      </c>
      <c r="I60" t="s">
        <v>199</v>
      </c>
      <c r="J60" s="2"/>
      <c r="K60" s="2" t="str">
        <f t="shared" si="0"/>
        <v>&lt;Component C_Type="Drawing" C_CODE="B5847.00" C_REV="A" C_Data="01_01_1970" C_STATUS="Active" C_Designer="Bartola" C_TwoD="B5847.00_A-CONNETTORE COSTAMPATO-PER-95B.953.236-.CATDrawing" C_Three_D="" &gt; B5847.00_A-CONNETTORE COSTAMPATO-PER-95B.953.236-.CATDrawing &lt;/Component&gt;</v>
      </c>
    </row>
    <row r="61" spans="1:11" x14ac:dyDescent="0.25">
      <c r="A61" t="s">
        <v>202</v>
      </c>
      <c r="B61" t="s">
        <v>203</v>
      </c>
      <c r="C61" t="s">
        <v>38</v>
      </c>
      <c r="D61" t="s">
        <v>204</v>
      </c>
      <c r="E61" t="s">
        <v>44</v>
      </c>
      <c r="F61" t="s">
        <v>27</v>
      </c>
      <c r="G61" t="s">
        <v>28</v>
      </c>
      <c r="H61" t="s">
        <v>29</v>
      </c>
      <c r="I61" t="s">
        <v>202</v>
      </c>
      <c r="J61" s="2"/>
      <c r="K61" s="2" t="str">
        <f t="shared" si="0"/>
        <v>&lt;Component C_Type="Drawing" C_CODE="B5904.03" C_REV="A" C_Data="01_01_1970" C_STATUS="Active" C_Designer="Bartola" C_TwoD="B5904.03_A-GANCIO SICUREZZA TRATTAMENTO TERMICO.CATDrawing" C_Three_D="" &gt; B5904.03_A-GANCIO SICUREZZA TRATTAMENTO TERMICO.CATDrawing &lt;/Component&gt;</v>
      </c>
    </row>
    <row r="62" spans="1:11" x14ac:dyDescent="0.25">
      <c r="A62" t="s">
        <v>205</v>
      </c>
      <c r="B62" t="s">
        <v>206</v>
      </c>
      <c r="C62" t="s">
        <v>38</v>
      </c>
      <c r="D62" t="s">
        <v>207</v>
      </c>
      <c r="E62" t="s">
        <v>48</v>
      </c>
      <c r="F62" t="s">
        <v>27</v>
      </c>
      <c r="G62" t="s">
        <v>28</v>
      </c>
      <c r="H62" t="s">
        <v>29</v>
      </c>
      <c r="I62" t="s">
        <v>205</v>
      </c>
      <c r="J62" s="2"/>
      <c r="K62" s="2" t="str">
        <f>IF(A62&lt;&gt;"",CONCATENATE("&lt;Component C_Type=""",C62,""" C_CODE=""",D62,""" C_REV=""",E62,""" C_Data=""",F62,""" C_STATUS=""",G62,""" C_Designer=""",H62,""" C_TwoD=""",I62,""" C_Three_D=""",J62,""" &gt; ",A62," &lt;/Component&gt;"),"&lt;/PartList&gt;")</f>
        <v>&lt;Component C_Type="Drawing" C_CODE="B5905.00" C_REV="B" C_Data="01_01_1970" C_STATUS="Active" C_Designer="Bartola" C_TwoD="B5905.00_B-MOLLA PER ESPULSORE 55-85N.CATDrawing" C_Three_D="" &gt; B5905.00_B-MOLLA PER ESPULSORE 55-85N.CATDrawing &lt;/Component&gt;</v>
      </c>
    </row>
    <row r="63" spans="1:11" x14ac:dyDescent="0.25">
      <c r="A63" t="s">
        <v>208</v>
      </c>
      <c r="B63" t="s">
        <v>209</v>
      </c>
      <c r="C63" t="s">
        <v>38</v>
      </c>
      <c r="D63" t="s">
        <v>210</v>
      </c>
      <c r="E63" t="s">
        <v>48</v>
      </c>
      <c r="F63" t="s">
        <v>27</v>
      </c>
      <c r="G63" t="s">
        <v>28</v>
      </c>
      <c r="H63" t="s">
        <v>29</v>
      </c>
      <c r="I63" t="s">
        <v>208</v>
      </c>
      <c r="J63" s="2"/>
      <c r="K63" s="2" t="str">
        <f t="shared" ref="K63:K89" si="1">IF(A63&lt;&gt;"",CONCATENATE("&lt;Component C_Type=""",C63,""" C_CODE=""",D63,""" C_REV=""",E63,""" C_Data=""",F63,""" C_STATUS=""",G63,""" C_Designer=""",H63,""" C_TwoD=""",I63,""" C_Three_D=""",J63,""" &gt; ",A63," &lt;/Component&gt;"),"&lt;/PartList&gt;")</f>
        <v>&lt;Component C_Type="Drawing" C_CODE="B5906.00" C_REV="B" C_Data="01_01_1970" C_STATUS="Active" C_Designer="Bartola" C_TwoD="B5906.00_B-MOLLA PER ESPULSORE 70-110N.CATDrawing" C_Three_D="" &gt; B5906.00_B-MOLLA PER ESPULSORE 70-110N.CATDrawing &lt;/Component&gt;</v>
      </c>
    </row>
    <row r="64" spans="1:11" x14ac:dyDescent="0.25">
      <c r="A64" t="s">
        <v>211</v>
      </c>
      <c r="B64" t="s">
        <v>212</v>
      </c>
      <c r="C64" t="s">
        <v>38</v>
      </c>
      <c r="D64" t="s">
        <v>213</v>
      </c>
      <c r="E64" t="s">
        <v>40</v>
      </c>
      <c r="F64" t="s">
        <v>27</v>
      </c>
      <c r="G64" t="s">
        <v>28</v>
      </c>
      <c r="H64" t="s">
        <v>29</v>
      </c>
      <c r="I64" t="s">
        <v>211</v>
      </c>
      <c r="J64" s="2"/>
      <c r="K64" s="2" t="str">
        <f t="shared" si="1"/>
        <v>&lt;Component C_Type="Drawing" C_CODE="B5907.00" C_REV="C" C_Data="01_01_1970" C_STATUS="Active" C_Designer="Bartola" C_TwoD="B5907.00_C-MOLLA PER ESPULSORE-20-40N.CATDrawing" C_Three_D="" &gt; B5907.00_C-MOLLA PER ESPULSORE-20-40N.CATDrawing &lt;/Component&gt;</v>
      </c>
    </row>
    <row r="65" spans="1:11" x14ac:dyDescent="0.25">
      <c r="A65" t="s">
        <v>214</v>
      </c>
      <c r="B65" t="s">
        <v>215</v>
      </c>
      <c r="C65" t="s">
        <v>38</v>
      </c>
      <c r="D65" t="s">
        <v>216</v>
      </c>
      <c r="E65" t="s">
        <v>40</v>
      </c>
      <c r="F65" t="s">
        <v>27</v>
      </c>
      <c r="G65" t="s">
        <v>28</v>
      </c>
      <c r="H65" t="s">
        <v>29</v>
      </c>
      <c r="I65" t="s">
        <v>214</v>
      </c>
      <c r="J65" t="s">
        <v>217</v>
      </c>
      <c r="K65" s="2" t="str">
        <f t="shared" si="1"/>
        <v>&lt;Component C_Type="Drawing" C_CODE="B5929.01" C_REV="C" C_Data="01_01_1970" C_STATUS="Active" C_Designer="Bartola" C_TwoD="B5929.01_C-BOCCOLA -TORNITA-ALTA-20.CATDrawing" C_Three_D="B5929.01_C-BOCCOLA -TORNITA-ALTA-20.CATPart" &gt; B5929.01_C-BOCCOLA -TORNITA-ALTA-20.CATDrawing &lt;/Component&gt;</v>
      </c>
    </row>
    <row r="66" spans="1:11" x14ac:dyDescent="0.25">
      <c r="A66" t="s">
        <v>218</v>
      </c>
      <c r="B66" t="s">
        <v>219</v>
      </c>
      <c r="C66" t="s">
        <v>38</v>
      </c>
      <c r="D66" t="s">
        <v>220</v>
      </c>
      <c r="E66" t="s">
        <v>48</v>
      </c>
      <c r="F66" t="s">
        <v>27</v>
      </c>
      <c r="G66" t="s">
        <v>28</v>
      </c>
      <c r="H66" t="s">
        <v>29</v>
      </c>
      <c r="I66" t="s">
        <v>218</v>
      </c>
      <c r="J66" s="2"/>
      <c r="K66" s="2" t="str">
        <f t="shared" si="1"/>
        <v>&lt;Component C_Type="Drawing" C_CODE="B5930.01" C_REV="B" C_Data="01_01_1970" C_STATUS="Active" C_Designer="Bartola" C_TwoD="B5930.01-B-BOCCOLA TRATTATA.CATDrawing" C_Three_D="" &gt; B5930.01-B-BOCCOLA TRATTATA.CATDrawing &lt;/Component&gt;</v>
      </c>
    </row>
    <row r="67" spans="1:11" x14ac:dyDescent="0.25">
      <c r="A67" t="s">
        <v>221</v>
      </c>
      <c r="B67" t="s">
        <v>222</v>
      </c>
      <c r="C67" t="s">
        <v>38</v>
      </c>
      <c r="D67" t="s">
        <v>223</v>
      </c>
      <c r="E67" t="s">
        <v>44</v>
      </c>
      <c r="F67" t="s">
        <v>27</v>
      </c>
      <c r="G67" t="s">
        <v>28</v>
      </c>
      <c r="H67" t="s">
        <v>29</v>
      </c>
      <c r="I67" t="s">
        <v>221</v>
      </c>
      <c r="J67" s="2"/>
      <c r="K67" s="2" t="str">
        <f t="shared" si="1"/>
        <v>&lt;Component C_Type="Drawing" C_CODE="B6025.00" C_REV="A" C_Data="01_01_1970" C_STATUS="Active" C_Designer="Bartola" C_TwoD="B6025.00_A-SALTARELLO BURATTATO.CATDrawing" C_Three_D="" &gt; B6025.00_A-SALTARELLO BURATTATO.CATDrawing &lt;/Component&gt;</v>
      </c>
    </row>
    <row r="68" spans="1:11" x14ac:dyDescent="0.25">
      <c r="A68" t="s">
        <v>224</v>
      </c>
      <c r="B68" t="s">
        <v>225</v>
      </c>
      <c r="C68" t="s">
        <v>26</v>
      </c>
      <c r="D68" t="s">
        <v>226</v>
      </c>
      <c r="E68" t="s">
        <v>95</v>
      </c>
      <c r="F68" t="s">
        <v>27</v>
      </c>
      <c r="G68" t="s">
        <v>28</v>
      </c>
      <c r="H68" t="s">
        <v>29</v>
      </c>
      <c r="I68" s="2" t="s">
        <v>30</v>
      </c>
      <c r="J68" t="s">
        <v>224</v>
      </c>
      <c r="K68" s="2" t="str">
        <f t="shared" si="1"/>
        <v>&lt;Component C_Type="Assembly" C_CODE="D3955.00" C_REV="NULL" C_Data="01_01_1970" C_STATUS="Active" C_Designer="Bartola" C_TwoD="" C_Three_D="D3955.00-R8-ASSY ESPULSORE MQB-14-09-10.CATProduct" &gt; D3955.00-R8-ASSY ESPULSORE MQB-14-09-10.CATProduct &lt;/Component&gt;</v>
      </c>
    </row>
    <row r="69" spans="1:11" x14ac:dyDescent="0.25">
      <c r="A69" t="s">
        <v>227</v>
      </c>
      <c r="B69" t="s">
        <v>228</v>
      </c>
      <c r="C69" t="s">
        <v>38</v>
      </c>
      <c r="D69" t="s">
        <v>229</v>
      </c>
      <c r="E69" t="s">
        <v>44</v>
      </c>
      <c r="F69" t="s">
        <v>27</v>
      </c>
      <c r="G69" t="s">
        <v>28</v>
      </c>
      <c r="H69" t="s">
        <v>29</v>
      </c>
      <c r="I69" t="s">
        <v>227</v>
      </c>
      <c r="J69" s="2"/>
      <c r="K69" s="2" t="str">
        <f t="shared" si="1"/>
        <v>&lt;Component C_Type="Drawing" C_CODE="D4183.02" C_REV="A" C_Data="01_01_1970" C_STATUS="Active" C_Designer="Bartola" C_TwoD="D4183.02_A-CABLAGGIO-L120-8S0.953.236.CATDrawing" C_Three_D="" &gt; D4183.02_A-CABLAGGIO-L120-8S0.953.236.CATDrawing &lt;/Component&gt;</v>
      </c>
    </row>
    <row r="70" spans="1:11" x14ac:dyDescent="0.25">
      <c r="A70" t="s">
        <v>230</v>
      </c>
      <c r="B70" t="s">
        <v>231</v>
      </c>
      <c r="C70" t="s">
        <v>38</v>
      </c>
      <c r="D70" t="s">
        <v>232</v>
      </c>
      <c r="E70" t="s">
        <v>44</v>
      </c>
      <c r="F70" t="s">
        <v>27</v>
      </c>
      <c r="G70" t="s">
        <v>28</v>
      </c>
      <c r="H70" t="s">
        <v>29</v>
      </c>
      <c r="I70" t="s">
        <v>230</v>
      </c>
      <c r="J70" s="2"/>
      <c r="K70" s="2" t="str">
        <f t="shared" si="1"/>
        <v>&lt;Component C_Type="Drawing" C_CODE="D4553.00" C_REV="A" C_Data="01_01_1970" C_STATUS="Active" C_Designer="Bartola" C_TwoD="D4553.00_A-CABLAGGIO-L100- CONNETTORE VW PER 3V0.953.236.CATDrawing" C_Three_D="" &gt; D4553.00_A-CABLAGGIO-L100- CONNETTORE VW PER 3V0.953.236.CATDrawing &lt;/Component&gt;</v>
      </c>
    </row>
    <row r="71" spans="1:11" x14ac:dyDescent="0.25">
      <c r="A71" t="s">
        <v>233</v>
      </c>
      <c r="B71" t="s">
        <v>234</v>
      </c>
      <c r="C71" t="s">
        <v>38</v>
      </c>
      <c r="D71" t="s">
        <v>235</v>
      </c>
      <c r="E71" t="s">
        <v>44</v>
      </c>
      <c r="F71" t="s">
        <v>27</v>
      </c>
      <c r="G71" t="s">
        <v>28</v>
      </c>
      <c r="H71" t="s">
        <v>29</v>
      </c>
      <c r="I71" t="s">
        <v>233</v>
      </c>
      <c r="J71" s="2"/>
      <c r="K71" s="2" t="str">
        <f t="shared" si="1"/>
        <v>&lt;Component C_Type="Drawing" C_CODE="D5044.00" C_REV="A" C_Data="01_01_1970" C_STATUS="Active" C_Designer="Bartola" C_TwoD="D5044.00_A-CABLAGGIO-L200-918.953.236.CATDrawing" C_Three_D="" &gt; D5044.00_A-CABLAGGIO-L200-918.953.236.CATDrawing &lt;/Component&gt;</v>
      </c>
    </row>
    <row r="72" spans="1:11" x14ac:dyDescent="0.25">
      <c r="A72" t="s">
        <v>236</v>
      </c>
      <c r="B72" t="s">
        <v>237</v>
      </c>
      <c r="C72" t="s">
        <v>38</v>
      </c>
      <c r="D72" t="s">
        <v>238</v>
      </c>
      <c r="E72" t="s">
        <v>44</v>
      </c>
      <c r="F72" t="s">
        <v>27</v>
      </c>
      <c r="G72" t="s">
        <v>28</v>
      </c>
      <c r="H72" t="s">
        <v>29</v>
      </c>
      <c r="I72" t="s">
        <v>236</v>
      </c>
      <c r="J72" s="2"/>
      <c r="K72" s="2" t="str">
        <f t="shared" si="1"/>
        <v>&lt;Component C_Type="Drawing" C_CODE="D5061.00" C_REV="A" C_Data="01_01_1970" C_STATUS="Active" C_Designer="Bartola" C_TwoD="D5061.00_A-CABLAGGIO-L100- 95B.953.236.CATDrawing" C_Three_D="" &gt; D5061.00_A-CABLAGGIO-L100- 95B.953.236.CATDrawing &lt;/Component&gt;</v>
      </c>
    </row>
    <row r="73" spans="1:11" x14ac:dyDescent="0.25">
      <c r="A73" t="s">
        <v>239</v>
      </c>
      <c r="B73" t="s">
        <v>240</v>
      </c>
      <c r="C73" t="s">
        <v>38</v>
      </c>
      <c r="D73" t="s">
        <v>241</v>
      </c>
      <c r="E73" t="s">
        <v>44</v>
      </c>
      <c r="F73" t="s">
        <v>27</v>
      </c>
      <c r="G73" t="s">
        <v>28</v>
      </c>
      <c r="H73" t="s">
        <v>29</v>
      </c>
      <c r="I73" t="s">
        <v>239</v>
      </c>
      <c r="J73" s="2"/>
      <c r="K73" s="2" t="str">
        <f t="shared" si="1"/>
        <v>&lt;Component C_Type="Drawing" C_CODE="D5785.05" C_REV="A" C_Data="01_01_1970" C_STATUS="Active" C_Designer="Bartola" C_TwoD="D5785.05_A_TAB_010_831_D__DRW_TZ__016_____MULTI_FKS_AUDI_____P_B_FREI__141207QCSI.CATDrawing" C_Three_D="" &gt; D5785.05_A_TAB_010_831_D__DRW_TZ__016_____MULTI_FKS_AUDI_____P_B_FREI__141207QCSI.CATDrawing &lt;/Component&gt;</v>
      </c>
    </row>
    <row r="74" spans="1:11" x14ac:dyDescent="0.25">
      <c r="A74" t="s">
        <v>242</v>
      </c>
      <c r="B74" t="s">
        <v>243</v>
      </c>
      <c r="C74" t="s">
        <v>38</v>
      </c>
      <c r="D74" t="s">
        <v>244</v>
      </c>
      <c r="E74" t="s">
        <v>44</v>
      </c>
      <c r="F74" t="s">
        <v>27</v>
      </c>
      <c r="G74" t="s">
        <v>28</v>
      </c>
      <c r="H74" t="s">
        <v>29</v>
      </c>
      <c r="I74" t="s">
        <v>242</v>
      </c>
      <c r="J74" s="2"/>
      <c r="K74" s="2" t="str">
        <f t="shared" si="1"/>
        <v>&lt;Component C_Type="Drawing" C_CODE="D5804.00" C_REV="A" C_Data="01_01_1970" C_STATUS="Active" C_Designer="Bartola" C_TwoD="D5804.00_A-CABLAGGIO-L110-4M0.953.236.CATDrawing" C_Three_D="" &gt; D5804.00_A-CABLAGGIO-L110-4M0.953.236.CATDrawing &lt;/Component&gt;</v>
      </c>
    </row>
    <row r="75" spans="1:11" x14ac:dyDescent="0.25">
      <c r="A75" t="s">
        <v>245</v>
      </c>
      <c r="B75" t="s">
        <v>246</v>
      </c>
      <c r="C75" t="s">
        <v>38</v>
      </c>
      <c r="D75" t="s">
        <v>247</v>
      </c>
      <c r="E75" t="s">
        <v>44</v>
      </c>
      <c r="F75" t="s">
        <v>27</v>
      </c>
      <c r="G75" t="s">
        <v>28</v>
      </c>
      <c r="H75" t="s">
        <v>29</v>
      </c>
      <c r="I75" t="s">
        <v>245</v>
      </c>
      <c r="J75" s="2"/>
      <c r="K75" s="2" t="str">
        <f t="shared" si="1"/>
        <v>&lt;Component C_Type="Drawing" C_CODE="D5805.00" C_REV="A" C_Data="01_01_1970" C_STATUS="Active" C_Designer="Bartola" C_TwoD="D5805.00_A-CABLAGGIO-L115-8W0.953.236.CATDrawing" C_Three_D="" &gt; D5805.00_A-CABLAGGIO-L115-8W0.953.236.CATDrawing &lt;/Component&gt;</v>
      </c>
    </row>
    <row r="76" spans="1:1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2" t="str">
        <f t="shared" si="1"/>
        <v>&lt;/PartList&gt;</v>
      </c>
    </row>
    <row r="77" spans="1:11" x14ac:dyDescent="0.25">
      <c r="A77" t="s">
        <v>24</v>
      </c>
      <c r="B77" t="s">
        <v>25</v>
      </c>
      <c r="C77" t="s">
        <v>26</v>
      </c>
      <c r="F77" t="s">
        <v>27</v>
      </c>
      <c r="G77" t="s">
        <v>28</v>
      </c>
      <c r="H77" t="s">
        <v>29</v>
      </c>
      <c r="I77" s="2" t="s">
        <v>30</v>
      </c>
      <c r="J77" t="s">
        <v>24</v>
      </c>
      <c r="K77" s="2" t="str">
        <f t="shared" si="1"/>
        <v>&lt;Component C_Type="Assembly" C_CODE="" C_REV="" C_Data="01_01_1970" C_STATUS="Active" C_Designer="Bartola" C_TwoD="" C_Three_D="8S0_823_509____DMU_________________20150213.CATProduct" &gt; 8S0_823_509____DMU_________________20150213.CATProduct &lt;/Component&gt;</v>
      </c>
    </row>
    <row r="78" spans="1:11" x14ac:dyDescent="0.25">
      <c r="A78" t="s">
        <v>31</v>
      </c>
      <c r="B78" t="s">
        <v>32</v>
      </c>
      <c r="C78" t="s">
        <v>33</v>
      </c>
      <c r="F78" t="s">
        <v>27</v>
      </c>
      <c r="G78" t="s">
        <v>28</v>
      </c>
      <c r="H78" t="s">
        <v>29</v>
      </c>
      <c r="I78" s="2" t="s">
        <v>30</v>
      </c>
      <c r="J78" t="s">
        <v>31</v>
      </c>
      <c r="K78" s="2" t="str">
        <f t="shared" si="1"/>
        <v>&lt;Component C_Type="Part" C_CODE="" C_REV="" C_Data="01_01_1970" C_STATUS="Active" C_Designer="Bartola" C_TwoD="" C_Three_D="95B.823.529-TM2_BWD GAN SICUREZZA_cinematico.CATPart" &gt; 95B.823.529-TM2_BWD GAN SICUREZZA_cinematico.CATPart &lt;/Component&gt;</v>
      </c>
    </row>
    <row r="79" spans="1:11" x14ac:dyDescent="0.25">
      <c r="A79" t="s">
        <v>34</v>
      </c>
      <c r="B79" t="s">
        <v>35</v>
      </c>
      <c r="C79" t="s">
        <v>33</v>
      </c>
      <c r="F79" t="s">
        <v>27</v>
      </c>
      <c r="G79" t="s">
        <v>28</v>
      </c>
      <c r="H79" t="s">
        <v>29</v>
      </c>
      <c r="I79" s="2" t="s">
        <v>30</v>
      </c>
      <c r="J79" t="s">
        <v>34</v>
      </c>
      <c r="K79" s="2" t="str">
        <f t="shared" si="1"/>
        <v>&lt;Component C_Type="Part" C_CODE="" C_REV="" C_Data="01_01_1970" C_STATUS="Active" C_Designer="Bartola" C_TwoD="" C_Three_D="95B.823.536-TM2_BWD SALTARELLO_Cinematico.CATPart" &gt; 95B.823.536-TM2_BWD SALTARELLO_Cinematico.CATPart &lt;/Component&gt;</v>
      </c>
    </row>
    <row r="80" spans="1:11" x14ac:dyDescent="0.25">
      <c r="A80" t="s">
        <v>248</v>
      </c>
      <c r="B80" t="s">
        <v>249</v>
      </c>
      <c r="C80" t="s">
        <v>33</v>
      </c>
      <c r="F80" t="s">
        <v>27</v>
      </c>
      <c r="G80" t="s">
        <v>28</v>
      </c>
      <c r="H80" t="s">
        <v>29</v>
      </c>
      <c r="I80" s="2" t="s">
        <v>30</v>
      </c>
      <c r="J80" t="s">
        <v>248</v>
      </c>
      <c r="K80" s="2" t="str">
        <f t="shared" si="1"/>
        <v>&lt;Component C_Type="Part" C_CODE="" C_REV="" C_Data="01_01_1970" C_STATUS="Active" C_Designer="Bartola" C_TwoD="" C_Three_D="Molla_chiusa.CATPart" &gt; Molla_chiusa.CATPart &lt;/Component&gt;</v>
      </c>
    </row>
    <row r="81" spans="1:11" x14ac:dyDescent="0.25">
      <c r="A81" t="s">
        <v>250</v>
      </c>
      <c r="B81" t="s">
        <v>251</v>
      </c>
      <c r="C81" t="s">
        <v>26</v>
      </c>
      <c r="F81" t="s">
        <v>27</v>
      </c>
      <c r="G81" t="s">
        <v>28</v>
      </c>
      <c r="H81" t="s">
        <v>29</v>
      </c>
      <c r="I81" s="2" t="s">
        <v>30</v>
      </c>
      <c r="J81" t="s">
        <v>250</v>
      </c>
      <c r="K81" s="2" t="str">
        <f t="shared" si="1"/>
        <v>&lt;Component C_Type="Assembly" C_CODE="" C_REV="" C_Data="01_01_1970" C_STATUS="Active" C_Designer="Bartola" C_TwoD="" C_Three_D="PRODUCT1-SCTR IN +3 E -5.CATProduct" &gt; PRODUCT1-SCTR IN +3 E -5.CATProduct &lt;/Component&gt;</v>
      </c>
    </row>
    <row r="82" spans="1:11" x14ac:dyDescent="0.25">
      <c r="A82" t="s">
        <v>252</v>
      </c>
      <c r="B82" t="s">
        <v>253</v>
      </c>
      <c r="C82" t="s">
        <v>33</v>
      </c>
      <c r="F82" t="s">
        <v>27</v>
      </c>
      <c r="G82" t="s">
        <v>28</v>
      </c>
      <c r="H82" t="s">
        <v>29</v>
      </c>
      <c r="I82" s="2" t="s">
        <v>30</v>
      </c>
      <c r="J82" t="s">
        <v>252</v>
      </c>
      <c r="K82" s="2" t="str">
        <f t="shared" si="1"/>
        <v>&lt;Component C_Type="Part" C_CODE="" C_REV="" C_Data="01_01_1970" C_STATUS="Active" C_Designer="Bartola" C_TwoD="" C_Three_D="RPS-POINT.CATPart" &gt; RPS-POINT.CATPart &lt;/Component&gt;</v>
      </c>
    </row>
    <row r="83" spans="1:11" x14ac:dyDescent="0.25">
      <c r="A83" t="s">
        <v>254</v>
      </c>
      <c r="B83" t="s">
        <v>255</v>
      </c>
      <c r="C83" t="s">
        <v>33</v>
      </c>
      <c r="F83" t="s">
        <v>27</v>
      </c>
      <c r="G83" t="s">
        <v>28</v>
      </c>
      <c r="H83" t="s">
        <v>29</v>
      </c>
      <c r="I83" s="2" t="s">
        <v>30</v>
      </c>
      <c r="J83" t="s">
        <v>254</v>
      </c>
      <c r="K83" s="2" t="str">
        <f t="shared" si="1"/>
        <v>&lt;Component C_Type="Part" C_CODE="" C_REV="" C_Data="01_01_1970" C_STATUS="Active" C_Designer="Bartola" C_TwoD="" C_Three_D="SCTR CHIUSO A PACCO_8MM.CATPart" &gt; SCTR CHIUSO A PACCO_8MM.CATPart &lt;/Component&gt;</v>
      </c>
    </row>
    <row r="84" spans="1:11" x14ac:dyDescent="0.25">
      <c r="A84" t="s">
        <v>256</v>
      </c>
      <c r="B84" t="s">
        <v>257</v>
      </c>
      <c r="C84" t="s">
        <v>38</v>
      </c>
      <c r="F84" t="s">
        <v>27</v>
      </c>
      <c r="G84" t="s">
        <v>28</v>
      </c>
      <c r="H84" t="s">
        <v>29</v>
      </c>
      <c r="I84" s="2" t="s">
        <v>256</v>
      </c>
      <c r="J84" s="2"/>
      <c r="K84" s="2" t="str">
        <f t="shared" si="1"/>
        <v>&lt;Component C_Type="Drawing" C_CODE="" C_REV="" C_Data="01_01_1970" C_STATUS="Active" C_Designer="Bartola" C_TwoD="TAVOLA CON QUOTE.CATDrawing" C_Three_D="" &gt; TAVOLA CON QUOTE.CATDrawing &lt;/Component&gt;</v>
      </c>
    </row>
    <row r="85" spans="1:11" x14ac:dyDescent="0.25">
      <c r="A85" t="s">
        <v>258</v>
      </c>
      <c r="B85" t="s">
        <v>259</v>
      </c>
      <c r="C85" t="s">
        <v>26</v>
      </c>
      <c r="F85" t="s">
        <v>27</v>
      </c>
      <c r="G85" t="s">
        <v>28</v>
      </c>
      <c r="H85" t="s">
        <v>29</v>
      </c>
      <c r="I85" s="2" t="s">
        <v>30</v>
      </c>
      <c r="J85" t="s">
        <v>258</v>
      </c>
      <c r="K85" s="2" t="str">
        <f t="shared" si="1"/>
        <v>&lt;Component C_Type="Assembly" C_CODE="" C_REV="" C_Data="01_01_1970" C_STATUS="Active" C_Designer="Bartola" C_TwoD="" C_Three_D="8W0_823_509____DMU_________________20150213.CATProduct" &gt; 8W0_823_509____DMU_________________20150213.CATProduct &lt;/Component&gt;</v>
      </c>
    </row>
    <row r="86" spans="1:11" x14ac:dyDescent="0.25">
      <c r="A86" t="s">
        <v>260</v>
      </c>
      <c r="B86" t="s">
        <v>261</v>
      </c>
      <c r="C86" t="s">
        <v>26</v>
      </c>
      <c r="F86" t="s">
        <v>27</v>
      </c>
      <c r="G86" t="s">
        <v>28</v>
      </c>
      <c r="H86" t="s">
        <v>29</v>
      </c>
      <c r="I86" s="2" t="s">
        <v>30</v>
      </c>
      <c r="J86" t="s">
        <v>260</v>
      </c>
      <c r="K86" s="2" t="str">
        <f t="shared" si="1"/>
        <v>&lt;Component C_Type="Assembly" C_CODE="" C_REV="" C_Data="01_01_1970" C_STATUS="Active" C_Designer="Bartola" C_TwoD="" C_Three_D="8K0_823_509____DMU_________________20150213.CATProduct" &gt; 8K0_823_509____DMU_________________20150213.CATProduct &lt;/Component&gt;</v>
      </c>
    </row>
    <row r="87" spans="1:11" x14ac:dyDescent="0.25">
      <c r="A87" t="s">
        <v>262</v>
      </c>
      <c r="B87" t="s">
        <v>263</v>
      </c>
      <c r="C87" t="s">
        <v>33</v>
      </c>
      <c r="F87" t="s">
        <v>27</v>
      </c>
      <c r="G87" t="s">
        <v>28</v>
      </c>
      <c r="H87" t="s">
        <v>29</v>
      </c>
      <c r="I87" s="2" t="s">
        <v>30</v>
      </c>
      <c r="J87" t="s">
        <v>262</v>
      </c>
      <c r="K87" s="2" t="str">
        <f t="shared" si="1"/>
        <v>&lt;Component C_Type="Part" C_CODE="" C_REV="" C_Data="01_01_1970" C_STATUS="Active" C_Designer="Bartola" C_TwoD="" C_Three_D="pippo.CATPart" &gt; pippo.CATPart &lt;/Component&gt;</v>
      </c>
    </row>
    <row r="88" spans="1:11" x14ac:dyDescent="0.25">
      <c r="A88" t="s">
        <v>264</v>
      </c>
      <c r="B88" t="s">
        <v>265</v>
      </c>
      <c r="C88" t="s">
        <v>26</v>
      </c>
      <c r="F88" t="s">
        <v>27</v>
      </c>
      <c r="G88" t="s">
        <v>28</v>
      </c>
      <c r="H88" t="s">
        <v>29</v>
      </c>
      <c r="I88" s="2" t="s">
        <v>30</v>
      </c>
      <c r="J88" t="s">
        <v>264</v>
      </c>
      <c r="K88" s="2" t="str">
        <f t="shared" si="1"/>
        <v>&lt;Component C_Type="Assembly" C_CODE="" C_REV="" C_Data="01_01_1970" C_STATUS="Active" C_Designer="Bartola" C_TwoD="" C_Three_D="topolino2.CATProduct" &gt; topolino2.CATProduct &lt;/Component&gt;</v>
      </c>
    </row>
    <row r="89" spans="1:11" s="4" customFormat="1" x14ac:dyDescent="0.25">
      <c r="K89" s="2" t="str">
        <f t="shared" si="1"/>
        <v>&lt;/PartList&gt;</v>
      </c>
    </row>
  </sheetData>
  <autoFilter ref="A1:J89">
    <sortState ref="A2:J89">
      <sortCondition ref="D1:D89"/>
    </sortState>
  </autoFilter>
  <pageMargins left="0.7" right="0.7" top="0.75" bottom="0.75" header="0.3" footer="0.3"/>
  <pageSetup paperSize="9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EsportaXLM_PRT">
                <anchor mov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11</xdr:col>
                    <xdr:colOff>561975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5"/>
  <sheetViews>
    <sheetView workbookViewId="0">
      <selection sqref="A1:XFD75"/>
    </sheetView>
  </sheetViews>
  <sheetFormatPr defaultRowHeight="15" x14ac:dyDescent="0.25"/>
  <cols>
    <col min="1" max="9" width="11.42578125" customWidth="1"/>
    <col min="10" max="15" width="12.42578125" customWidth="1"/>
  </cols>
  <sheetData>
    <row r="1" spans="1:15" x14ac:dyDescent="0.25">
      <c r="A1" t="s">
        <v>0</v>
      </c>
      <c r="B1" t="s">
        <v>311</v>
      </c>
      <c r="C1" t="s">
        <v>4</v>
      </c>
      <c r="D1" t="s">
        <v>3</v>
      </c>
      <c r="E1" t="s">
        <v>2</v>
      </c>
      <c r="F1" t="s">
        <v>1</v>
      </c>
      <c r="G1" s="6" t="s">
        <v>480</v>
      </c>
      <c r="H1" t="s">
        <v>6</v>
      </c>
      <c r="I1" t="s">
        <v>12</v>
      </c>
      <c r="J1" t="s">
        <v>5</v>
      </c>
      <c r="K1" t="s">
        <v>10</v>
      </c>
      <c r="L1" t="s">
        <v>7</v>
      </c>
      <c r="M1" t="s">
        <v>8</v>
      </c>
      <c r="N1" t="s">
        <v>9</v>
      </c>
      <c r="O1" t="s">
        <v>11</v>
      </c>
    </row>
    <row r="2" spans="1:15" x14ac:dyDescent="0.25">
      <c r="A2" t="s">
        <v>39</v>
      </c>
      <c r="B2" t="s">
        <v>312</v>
      </c>
      <c r="C2" t="s">
        <v>28</v>
      </c>
      <c r="D2" t="s">
        <v>40</v>
      </c>
      <c r="E2" t="s">
        <v>27</v>
      </c>
      <c r="F2" t="s">
        <v>29</v>
      </c>
      <c r="G2" s="6" t="s">
        <v>479</v>
      </c>
      <c r="H2" s="6" t="s">
        <v>479</v>
      </c>
      <c r="I2" t="s">
        <v>36</v>
      </c>
      <c r="J2" s="1" t="s">
        <v>381</v>
      </c>
      <c r="K2" s="6" t="s">
        <v>479</v>
      </c>
      <c r="L2" s="6" t="s">
        <v>479</v>
      </c>
      <c r="M2" s="6" t="s">
        <v>479</v>
      </c>
      <c r="N2" s="6" t="s">
        <v>479</v>
      </c>
      <c r="O2" s="6" t="s">
        <v>479</v>
      </c>
    </row>
    <row r="3" spans="1:15" x14ac:dyDescent="0.25">
      <c r="A3" t="s">
        <v>43</v>
      </c>
      <c r="B3" t="s">
        <v>313</v>
      </c>
      <c r="C3" t="s">
        <v>28</v>
      </c>
      <c r="D3" t="s">
        <v>44</v>
      </c>
      <c r="E3" t="s">
        <v>27</v>
      </c>
      <c r="F3" t="s">
        <v>29</v>
      </c>
      <c r="G3" s="6" t="s">
        <v>479</v>
      </c>
      <c r="H3" s="6" t="s">
        <v>479</v>
      </c>
      <c r="I3" t="s">
        <v>41</v>
      </c>
      <c r="J3" t="s">
        <v>382</v>
      </c>
      <c r="K3" s="6" t="s">
        <v>479</v>
      </c>
      <c r="L3" s="6" t="s">
        <v>479</v>
      </c>
      <c r="M3" s="6" t="s">
        <v>479</v>
      </c>
      <c r="N3" s="6" t="s">
        <v>479</v>
      </c>
      <c r="O3" s="6" t="s">
        <v>479</v>
      </c>
    </row>
    <row r="4" spans="1:15" x14ac:dyDescent="0.25">
      <c r="A4" t="s">
        <v>47</v>
      </c>
      <c r="B4" t="s">
        <v>314</v>
      </c>
      <c r="C4" t="s">
        <v>28</v>
      </c>
      <c r="D4" t="s">
        <v>48</v>
      </c>
      <c r="E4" t="s">
        <v>27</v>
      </c>
      <c r="F4" t="s">
        <v>29</v>
      </c>
      <c r="G4" s="6" t="s">
        <v>479</v>
      </c>
      <c r="H4" s="6" t="s">
        <v>479</v>
      </c>
      <c r="I4" t="s">
        <v>45</v>
      </c>
      <c r="J4" t="s">
        <v>383</v>
      </c>
      <c r="K4" s="6" t="s">
        <v>479</v>
      </c>
      <c r="L4" s="6" t="s">
        <v>479</v>
      </c>
      <c r="M4" s="6" t="s">
        <v>479</v>
      </c>
      <c r="N4" s="6" t="s">
        <v>479</v>
      </c>
      <c r="O4" s="6" t="s">
        <v>479</v>
      </c>
    </row>
    <row r="5" spans="1:15" x14ac:dyDescent="0.25">
      <c r="A5" t="s">
        <v>51</v>
      </c>
      <c r="B5" t="s">
        <v>315</v>
      </c>
      <c r="C5" t="s">
        <v>28</v>
      </c>
      <c r="D5" t="s">
        <v>48</v>
      </c>
      <c r="E5" t="s">
        <v>27</v>
      </c>
      <c r="F5" t="s">
        <v>29</v>
      </c>
      <c r="G5" s="6" t="s">
        <v>479</v>
      </c>
      <c r="H5" s="6" t="s">
        <v>479</v>
      </c>
      <c r="I5" t="s">
        <v>49</v>
      </c>
      <c r="J5" t="s">
        <v>384</v>
      </c>
      <c r="K5" s="6" t="s">
        <v>479</v>
      </c>
      <c r="L5" s="6" t="s">
        <v>479</v>
      </c>
      <c r="M5" s="6" t="s">
        <v>479</v>
      </c>
      <c r="N5" s="6" t="s">
        <v>479</v>
      </c>
      <c r="O5" s="6" t="s">
        <v>479</v>
      </c>
    </row>
    <row r="6" spans="1:15" x14ac:dyDescent="0.25">
      <c r="A6" t="s">
        <v>54</v>
      </c>
      <c r="B6" t="s">
        <v>316</v>
      </c>
      <c r="C6" t="s">
        <v>28</v>
      </c>
      <c r="D6" t="s">
        <v>48</v>
      </c>
      <c r="E6" t="s">
        <v>27</v>
      </c>
      <c r="F6" t="s">
        <v>29</v>
      </c>
      <c r="G6" s="6" t="s">
        <v>479</v>
      </c>
      <c r="H6" s="6" t="s">
        <v>479</v>
      </c>
      <c r="I6" t="s">
        <v>52</v>
      </c>
      <c r="J6" t="s">
        <v>385</v>
      </c>
      <c r="K6" s="6" t="s">
        <v>479</v>
      </c>
      <c r="L6" s="6" t="s">
        <v>479</v>
      </c>
      <c r="M6" s="6" t="s">
        <v>479</v>
      </c>
      <c r="N6" s="6" t="s">
        <v>479</v>
      </c>
      <c r="O6" s="6" t="s">
        <v>479</v>
      </c>
    </row>
    <row r="7" spans="1:15" x14ac:dyDescent="0.25">
      <c r="A7" t="s">
        <v>268</v>
      </c>
      <c r="B7" t="s">
        <v>317</v>
      </c>
      <c r="C7" t="s">
        <v>28</v>
      </c>
      <c r="D7" t="s">
        <v>95</v>
      </c>
      <c r="E7" t="s">
        <v>27</v>
      </c>
      <c r="F7" t="s">
        <v>29</v>
      </c>
      <c r="G7" s="6" t="s">
        <v>479</v>
      </c>
      <c r="H7" s="6" t="s">
        <v>479</v>
      </c>
      <c r="I7" t="s">
        <v>266</v>
      </c>
      <c r="J7" t="s">
        <v>386</v>
      </c>
      <c r="K7" s="6" t="s">
        <v>479</v>
      </c>
      <c r="L7" s="6" t="s">
        <v>479</v>
      </c>
      <c r="M7" s="6" t="s">
        <v>479</v>
      </c>
      <c r="N7" s="6" t="s">
        <v>479</v>
      </c>
      <c r="O7" s="6" t="s">
        <v>479</v>
      </c>
    </row>
    <row r="8" spans="1:15" x14ac:dyDescent="0.25">
      <c r="A8" t="s">
        <v>292</v>
      </c>
      <c r="B8" t="s">
        <v>318</v>
      </c>
      <c r="C8" t="s">
        <v>293</v>
      </c>
      <c r="D8" t="s">
        <v>40</v>
      </c>
      <c r="E8" t="s">
        <v>27</v>
      </c>
      <c r="F8" t="s">
        <v>29</v>
      </c>
      <c r="G8" s="5" t="s">
        <v>294</v>
      </c>
      <c r="H8" t="s">
        <v>451</v>
      </c>
      <c r="I8" s="5" t="s">
        <v>290</v>
      </c>
      <c r="J8" t="s">
        <v>387</v>
      </c>
      <c r="K8" s="6" t="s">
        <v>479</v>
      </c>
      <c r="L8" s="6" t="s">
        <v>479</v>
      </c>
      <c r="M8" s="6" t="s">
        <v>479</v>
      </c>
      <c r="N8" s="6" t="s">
        <v>479</v>
      </c>
      <c r="O8" s="6" t="s">
        <v>479</v>
      </c>
    </row>
    <row r="9" spans="1:15" x14ac:dyDescent="0.25">
      <c r="A9" t="s">
        <v>271</v>
      </c>
      <c r="B9" t="s">
        <v>319</v>
      </c>
      <c r="C9" t="s">
        <v>28</v>
      </c>
      <c r="D9" t="s">
        <v>95</v>
      </c>
      <c r="E9" t="s">
        <v>272</v>
      </c>
      <c r="F9" t="s">
        <v>29</v>
      </c>
      <c r="G9" t="s">
        <v>273</v>
      </c>
      <c r="H9" t="s">
        <v>452</v>
      </c>
      <c r="I9" t="s">
        <v>269</v>
      </c>
      <c r="J9" t="s">
        <v>388</v>
      </c>
      <c r="K9" s="6" t="s">
        <v>479</v>
      </c>
      <c r="L9" s="6" t="s">
        <v>479</v>
      </c>
      <c r="M9" s="6" t="s">
        <v>479</v>
      </c>
      <c r="N9" s="6" t="s">
        <v>479</v>
      </c>
      <c r="O9" s="6" t="s">
        <v>479</v>
      </c>
    </row>
    <row r="10" spans="1:15" x14ac:dyDescent="0.25">
      <c r="A10" t="s">
        <v>57</v>
      </c>
      <c r="B10" t="s">
        <v>320</v>
      </c>
      <c r="C10" t="s">
        <v>28</v>
      </c>
      <c r="D10" t="s">
        <v>58</v>
      </c>
      <c r="E10" t="s">
        <v>27</v>
      </c>
      <c r="F10" t="s">
        <v>29</v>
      </c>
      <c r="G10" t="s">
        <v>59</v>
      </c>
      <c r="H10" t="s">
        <v>453</v>
      </c>
      <c r="I10" t="s">
        <v>55</v>
      </c>
      <c r="J10" t="s">
        <v>389</v>
      </c>
      <c r="K10" s="6" t="s">
        <v>479</v>
      </c>
      <c r="L10" s="6" t="s">
        <v>479</v>
      </c>
      <c r="M10" s="6" t="s">
        <v>479</v>
      </c>
      <c r="N10" s="6" t="s">
        <v>479</v>
      </c>
      <c r="O10" s="6" t="s">
        <v>479</v>
      </c>
    </row>
    <row r="11" spans="1:15" x14ac:dyDescent="0.25">
      <c r="A11" t="s">
        <v>62</v>
      </c>
      <c r="B11" t="s">
        <v>321</v>
      </c>
      <c r="C11" t="s">
        <v>28</v>
      </c>
      <c r="D11" t="s">
        <v>40</v>
      </c>
      <c r="E11" t="s">
        <v>27</v>
      </c>
      <c r="F11" t="s">
        <v>29</v>
      </c>
      <c r="G11" t="s">
        <v>63</v>
      </c>
      <c r="H11" t="s">
        <v>454</v>
      </c>
      <c r="I11" t="s">
        <v>60</v>
      </c>
      <c r="J11" t="s">
        <v>390</v>
      </c>
      <c r="K11" s="6" t="s">
        <v>479</v>
      </c>
      <c r="L11" s="6" t="s">
        <v>479</v>
      </c>
      <c r="M11" s="6" t="s">
        <v>479</v>
      </c>
      <c r="N11" s="6" t="s">
        <v>479</v>
      </c>
      <c r="O11" s="6" t="s">
        <v>479</v>
      </c>
    </row>
    <row r="12" spans="1:15" x14ac:dyDescent="0.25">
      <c r="A12" t="s">
        <v>66</v>
      </c>
      <c r="B12" t="s">
        <v>322</v>
      </c>
      <c r="C12" t="s">
        <v>28</v>
      </c>
      <c r="D12" t="s">
        <v>67</v>
      </c>
      <c r="E12" t="s">
        <v>27</v>
      </c>
      <c r="F12" t="s">
        <v>29</v>
      </c>
      <c r="G12" t="s">
        <v>68</v>
      </c>
      <c r="H12" t="s">
        <v>455</v>
      </c>
      <c r="I12" t="s">
        <v>64</v>
      </c>
      <c r="J12" t="s">
        <v>391</v>
      </c>
      <c r="K12" s="6" t="s">
        <v>479</v>
      </c>
      <c r="L12" s="6" t="s">
        <v>479</v>
      </c>
      <c r="M12" s="6" t="s">
        <v>479</v>
      </c>
      <c r="N12" s="6" t="s">
        <v>479</v>
      </c>
      <c r="O12" s="6" t="s">
        <v>479</v>
      </c>
    </row>
    <row r="13" spans="1:15" x14ac:dyDescent="0.25">
      <c r="A13" s="5" t="s">
        <v>71</v>
      </c>
      <c r="B13" t="s">
        <v>323</v>
      </c>
      <c r="C13" s="5" t="s">
        <v>28</v>
      </c>
      <c r="D13" s="5" t="s">
        <v>48</v>
      </c>
      <c r="E13" s="5" t="s">
        <v>27</v>
      </c>
      <c r="F13" t="s">
        <v>29</v>
      </c>
      <c r="G13" s="5" t="s">
        <v>72</v>
      </c>
      <c r="H13" t="s">
        <v>456</v>
      </c>
      <c r="I13" s="5" t="s">
        <v>69</v>
      </c>
      <c r="J13" t="s">
        <v>392</v>
      </c>
      <c r="K13" s="6" t="s">
        <v>479</v>
      </c>
      <c r="L13" s="6" t="s">
        <v>479</v>
      </c>
      <c r="M13" s="6" t="s">
        <v>479</v>
      </c>
      <c r="N13" s="6" t="s">
        <v>479</v>
      </c>
      <c r="O13" s="6" t="s">
        <v>479</v>
      </c>
    </row>
    <row r="14" spans="1:15" x14ac:dyDescent="0.25">
      <c r="A14" t="s">
        <v>75</v>
      </c>
      <c r="B14" t="s">
        <v>324</v>
      </c>
      <c r="C14" t="s">
        <v>28</v>
      </c>
      <c r="D14" t="s">
        <v>40</v>
      </c>
      <c r="E14" t="s">
        <v>27</v>
      </c>
      <c r="F14" t="s">
        <v>29</v>
      </c>
      <c r="G14" t="s">
        <v>76</v>
      </c>
      <c r="H14" t="s">
        <v>457</v>
      </c>
      <c r="I14" t="s">
        <v>73</v>
      </c>
      <c r="J14" t="s">
        <v>393</v>
      </c>
      <c r="K14" s="6" t="s">
        <v>479</v>
      </c>
      <c r="L14" s="6" t="s">
        <v>479</v>
      </c>
      <c r="M14" s="6" t="s">
        <v>479</v>
      </c>
      <c r="N14" s="6" t="s">
        <v>479</v>
      </c>
      <c r="O14" s="6" t="s">
        <v>479</v>
      </c>
    </row>
    <row r="15" spans="1:15" x14ac:dyDescent="0.25">
      <c r="A15" t="s">
        <v>79</v>
      </c>
      <c r="B15" t="s">
        <v>325</v>
      </c>
      <c r="C15" t="s">
        <v>28</v>
      </c>
      <c r="D15" t="s">
        <v>44</v>
      </c>
      <c r="E15" t="s">
        <v>27</v>
      </c>
      <c r="F15" t="s">
        <v>29</v>
      </c>
      <c r="G15" s="6" t="s">
        <v>479</v>
      </c>
      <c r="H15" s="6" t="s">
        <v>479</v>
      </c>
      <c r="I15" t="s">
        <v>77</v>
      </c>
      <c r="J15" t="s">
        <v>394</v>
      </c>
      <c r="K15" s="6" t="s">
        <v>479</v>
      </c>
      <c r="L15" s="6" t="s">
        <v>479</v>
      </c>
      <c r="M15" s="6" t="s">
        <v>479</v>
      </c>
      <c r="N15" s="6" t="s">
        <v>479</v>
      </c>
      <c r="O15" s="6" t="s">
        <v>479</v>
      </c>
    </row>
    <row r="16" spans="1:15" x14ac:dyDescent="0.25">
      <c r="A16" t="s">
        <v>82</v>
      </c>
      <c r="B16" t="s">
        <v>326</v>
      </c>
      <c r="C16" t="s">
        <v>28</v>
      </c>
      <c r="D16" t="s">
        <v>67</v>
      </c>
      <c r="E16" t="s">
        <v>27</v>
      </c>
      <c r="F16" t="s">
        <v>29</v>
      </c>
      <c r="G16" t="s">
        <v>83</v>
      </c>
      <c r="H16" t="s">
        <v>458</v>
      </c>
      <c r="I16" t="s">
        <v>80</v>
      </c>
      <c r="J16" t="s">
        <v>395</v>
      </c>
      <c r="K16" s="6" t="s">
        <v>479</v>
      </c>
      <c r="L16" s="6" t="s">
        <v>479</v>
      </c>
      <c r="M16" s="6" t="s">
        <v>479</v>
      </c>
      <c r="N16" s="6" t="s">
        <v>479</v>
      </c>
      <c r="O16" s="6" t="s">
        <v>479</v>
      </c>
    </row>
    <row r="17" spans="1:15" x14ac:dyDescent="0.25">
      <c r="A17" t="s">
        <v>86</v>
      </c>
      <c r="B17" t="s">
        <v>327</v>
      </c>
      <c r="C17" t="s">
        <v>28</v>
      </c>
      <c r="D17" t="s">
        <v>40</v>
      </c>
      <c r="E17" t="s">
        <v>27</v>
      </c>
      <c r="F17" t="s">
        <v>29</v>
      </c>
      <c r="G17" t="s">
        <v>87</v>
      </c>
      <c r="H17" t="s">
        <v>459</v>
      </c>
      <c r="I17" t="s">
        <v>84</v>
      </c>
      <c r="J17" t="s">
        <v>396</v>
      </c>
      <c r="K17" s="6" t="s">
        <v>479</v>
      </c>
      <c r="L17" s="6" t="s">
        <v>479</v>
      </c>
      <c r="M17" s="6" t="s">
        <v>479</v>
      </c>
      <c r="N17" s="6" t="s">
        <v>479</v>
      </c>
      <c r="O17" s="6" t="s">
        <v>479</v>
      </c>
    </row>
    <row r="18" spans="1:15" x14ac:dyDescent="0.25">
      <c r="A18" t="s">
        <v>90</v>
      </c>
      <c r="B18" t="s">
        <v>328</v>
      </c>
      <c r="C18" t="s">
        <v>28</v>
      </c>
      <c r="D18" t="s">
        <v>67</v>
      </c>
      <c r="E18" t="s">
        <v>27</v>
      </c>
      <c r="F18" t="s">
        <v>29</v>
      </c>
      <c r="G18" t="s">
        <v>91</v>
      </c>
      <c r="H18" t="s">
        <v>460</v>
      </c>
      <c r="I18" t="s">
        <v>88</v>
      </c>
      <c r="J18" t="s">
        <v>397</v>
      </c>
      <c r="K18" s="6" t="s">
        <v>479</v>
      </c>
      <c r="L18" s="6" t="s">
        <v>479</v>
      </c>
      <c r="M18" s="6" t="s">
        <v>479</v>
      </c>
      <c r="N18" s="6" t="s">
        <v>479</v>
      </c>
      <c r="O18" s="6" t="s">
        <v>479</v>
      </c>
    </row>
    <row r="19" spans="1:15" x14ac:dyDescent="0.25">
      <c r="A19" t="s">
        <v>94</v>
      </c>
      <c r="B19" t="s">
        <v>329</v>
      </c>
      <c r="C19" t="s">
        <v>28</v>
      </c>
      <c r="D19" t="s">
        <v>95</v>
      </c>
      <c r="E19" t="s">
        <v>27</v>
      </c>
      <c r="F19" t="s">
        <v>29</v>
      </c>
      <c r="G19" s="6" t="s">
        <v>479</v>
      </c>
      <c r="H19" s="6" t="s">
        <v>479</v>
      </c>
      <c r="I19" t="s">
        <v>92</v>
      </c>
      <c r="J19" t="s">
        <v>398</v>
      </c>
      <c r="K19" s="6" t="s">
        <v>479</v>
      </c>
      <c r="L19" s="6" t="s">
        <v>479</v>
      </c>
      <c r="M19" s="6" t="s">
        <v>479</v>
      </c>
      <c r="N19" s="6" t="s">
        <v>479</v>
      </c>
      <c r="O19" s="6" t="s">
        <v>479</v>
      </c>
    </row>
    <row r="20" spans="1:15" x14ac:dyDescent="0.25">
      <c r="A20" t="s">
        <v>98</v>
      </c>
      <c r="B20" t="s">
        <v>329</v>
      </c>
      <c r="C20" t="s">
        <v>28</v>
      </c>
      <c r="D20" t="s">
        <v>95</v>
      </c>
      <c r="E20" t="s">
        <v>27</v>
      </c>
      <c r="F20" t="s">
        <v>29</v>
      </c>
      <c r="G20" t="s">
        <v>96</v>
      </c>
      <c r="H20" t="s">
        <v>461</v>
      </c>
      <c r="I20" s="6" t="s">
        <v>479</v>
      </c>
      <c r="J20" s="6" t="s">
        <v>479</v>
      </c>
      <c r="K20" s="6" t="s">
        <v>479</v>
      </c>
      <c r="L20" s="6" t="s">
        <v>479</v>
      </c>
      <c r="M20" s="6" t="s">
        <v>479</v>
      </c>
      <c r="N20" s="6" t="s">
        <v>479</v>
      </c>
      <c r="O20" s="6" t="s">
        <v>479</v>
      </c>
    </row>
    <row r="21" spans="1:15" x14ac:dyDescent="0.25">
      <c r="A21" t="s">
        <v>101</v>
      </c>
      <c r="B21" t="s">
        <v>330</v>
      </c>
      <c r="C21" t="s">
        <v>28</v>
      </c>
      <c r="D21" t="s">
        <v>44</v>
      </c>
      <c r="E21" t="s">
        <v>27</v>
      </c>
      <c r="F21" t="s">
        <v>29</v>
      </c>
      <c r="G21" s="6" t="s">
        <v>479</v>
      </c>
      <c r="H21" s="6" t="s">
        <v>479</v>
      </c>
      <c r="I21" t="s">
        <v>99</v>
      </c>
      <c r="J21" t="s">
        <v>399</v>
      </c>
      <c r="K21" s="6" t="s">
        <v>479</v>
      </c>
      <c r="L21" s="6" t="s">
        <v>479</v>
      </c>
      <c r="M21" s="6" t="s">
        <v>479</v>
      </c>
      <c r="N21" s="6" t="s">
        <v>479</v>
      </c>
      <c r="O21" s="6" t="s">
        <v>479</v>
      </c>
    </row>
    <row r="22" spans="1:15" x14ac:dyDescent="0.25">
      <c r="A22" t="s">
        <v>104</v>
      </c>
      <c r="B22" t="s">
        <v>379</v>
      </c>
      <c r="C22" t="s">
        <v>28</v>
      </c>
      <c r="D22" t="s">
        <v>40</v>
      </c>
      <c r="E22" t="s">
        <v>27</v>
      </c>
      <c r="F22" t="s">
        <v>29</v>
      </c>
      <c r="G22" t="s">
        <v>102</v>
      </c>
      <c r="H22" t="s">
        <v>462</v>
      </c>
      <c r="I22" s="6" t="s">
        <v>479</v>
      </c>
      <c r="J22" s="6" t="s">
        <v>479</v>
      </c>
      <c r="K22" s="6" t="s">
        <v>479</v>
      </c>
      <c r="L22" s="6" t="s">
        <v>479</v>
      </c>
      <c r="M22" s="6" t="s">
        <v>479</v>
      </c>
      <c r="N22" s="6" t="s">
        <v>479</v>
      </c>
      <c r="O22" s="6" t="s">
        <v>479</v>
      </c>
    </row>
    <row r="23" spans="1:15" x14ac:dyDescent="0.25">
      <c r="A23" t="s">
        <v>107</v>
      </c>
      <c r="B23" t="s">
        <v>379</v>
      </c>
      <c r="C23" t="s">
        <v>28</v>
      </c>
      <c r="D23" t="s">
        <v>95</v>
      </c>
      <c r="E23" t="s">
        <v>27</v>
      </c>
      <c r="F23" t="s">
        <v>29</v>
      </c>
      <c r="G23" t="s">
        <v>105</v>
      </c>
      <c r="H23" t="s">
        <v>463</v>
      </c>
      <c r="I23" s="6" t="s">
        <v>479</v>
      </c>
      <c r="J23" s="6" t="s">
        <v>479</v>
      </c>
      <c r="K23" s="6" t="s">
        <v>479</v>
      </c>
      <c r="L23" s="6" t="s">
        <v>479</v>
      </c>
      <c r="M23" s="6" t="s">
        <v>479</v>
      </c>
      <c r="N23" s="6" t="s">
        <v>479</v>
      </c>
      <c r="O23" s="6" t="s">
        <v>479</v>
      </c>
    </row>
    <row r="24" spans="1:15" x14ac:dyDescent="0.25">
      <c r="A24" t="s">
        <v>110</v>
      </c>
      <c r="B24" t="s">
        <v>331</v>
      </c>
      <c r="C24" t="s">
        <v>28</v>
      </c>
      <c r="D24" t="s">
        <v>40</v>
      </c>
      <c r="E24" t="s">
        <v>27</v>
      </c>
      <c r="F24" t="s">
        <v>29</v>
      </c>
      <c r="G24" t="s">
        <v>111</v>
      </c>
      <c r="H24" t="s">
        <v>464</v>
      </c>
      <c r="I24" t="s">
        <v>108</v>
      </c>
      <c r="J24" t="s">
        <v>400</v>
      </c>
      <c r="K24" s="6" t="s">
        <v>479</v>
      </c>
      <c r="L24" s="6" t="s">
        <v>479</v>
      </c>
      <c r="M24" s="6" t="s">
        <v>479</v>
      </c>
      <c r="N24" s="6" t="s">
        <v>479</v>
      </c>
      <c r="O24" s="6" t="s">
        <v>479</v>
      </c>
    </row>
    <row r="25" spans="1:15" x14ac:dyDescent="0.25">
      <c r="A25" t="s">
        <v>114</v>
      </c>
      <c r="B25" t="s">
        <v>331</v>
      </c>
      <c r="C25" t="s">
        <v>28</v>
      </c>
      <c r="D25" t="s">
        <v>44</v>
      </c>
      <c r="E25" t="s">
        <v>27</v>
      </c>
      <c r="F25" t="s">
        <v>29</v>
      </c>
      <c r="G25" s="6" t="s">
        <v>479</v>
      </c>
      <c r="H25" s="6" t="s">
        <v>479</v>
      </c>
      <c r="I25" t="s">
        <v>112</v>
      </c>
      <c r="J25" t="s">
        <v>401</v>
      </c>
      <c r="K25" s="6" t="s">
        <v>479</v>
      </c>
      <c r="L25" s="6" t="s">
        <v>479</v>
      </c>
      <c r="M25" s="6" t="s">
        <v>479</v>
      </c>
      <c r="N25" s="6" t="s">
        <v>479</v>
      </c>
      <c r="O25" s="6" t="s">
        <v>479</v>
      </c>
    </row>
    <row r="26" spans="1:15" x14ac:dyDescent="0.25">
      <c r="A26" t="s">
        <v>117</v>
      </c>
      <c r="B26" t="s">
        <v>332</v>
      </c>
      <c r="C26" t="s">
        <v>28</v>
      </c>
      <c r="D26" t="s">
        <v>40</v>
      </c>
      <c r="E26" t="s">
        <v>27</v>
      </c>
      <c r="F26" t="s">
        <v>29</v>
      </c>
      <c r="G26" t="s">
        <v>118</v>
      </c>
      <c r="H26" t="s">
        <v>465</v>
      </c>
      <c r="I26" t="s">
        <v>115</v>
      </c>
      <c r="J26" t="s">
        <v>402</v>
      </c>
      <c r="K26" s="6" t="s">
        <v>479</v>
      </c>
      <c r="L26" s="6" t="s">
        <v>479</v>
      </c>
      <c r="M26" s="6" t="s">
        <v>479</v>
      </c>
      <c r="N26" s="6" t="s">
        <v>479</v>
      </c>
      <c r="O26" s="6" t="s">
        <v>479</v>
      </c>
    </row>
    <row r="27" spans="1:15" x14ac:dyDescent="0.25">
      <c r="A27" t="s">
        <v>121</v>
      </c>
      <c r="B27" t="s">
        <v>333</v>
      </c>
      <c r="C27" t="s">
        <v>28</v>
      </c>
      <c r="D27" t="s">
        <v>40</v>
      </c>
      <c r="E27" t="s">
        <v>27</v>
      </c>
      <c r="F27" t="s">
        <v>29</v>
      </c>
      <c r="G27" s="6" t="s">
        <v>479</v>
      </c>
      <c r="H27" s="6" t="s">
        <v>479</v>
      </c>
      <c r="I27" t="s">
        <v>119</v>
      </c>
      <c r="J27" t="s">
        <v>403</v>
      </c>
      <c r="K27" s="6" t="s">
        <v>479</v>
      </c>
      <c r="L27" s="6" t="s">
        <v>479</v>
      </c>
      <c r="M27" s="6" t="s">
        <v>479</v>
      </c>
      <c r="N27" s="6" t="s">
        <v>479</v>
      </c>
      <c r="O27" s="6" t="s">
        <v>479</v>
      </c>
    </row>
    <row r="28" spans="1:15" x14ac:dyDescent="0.25">
      <c r="A28" t="s">
        <v>124</v>
      </c>
      <c r="B28" t="s">
        <v>334</v>
      </c>
      <c r="C28" t="s">
        <v>28</v>
      </c>
      <c r="D28" t="s">
        <v>48</v>
      </c>
      <c r="E28" t="s">
        <v>27</v>
      </c>
      <c r="F28" t="s">
        <v>29</v>
      </c>
      <c r="G28" t="s">
        <v>125</v>
      </c>
      <c r="H28" t="s">
        <v>466</v>
      </c>
      <c r="I28" t="s">
        <v>122</v>
      </c>
      <c r="J28" t="s">
        <v>404</v>
      </c>
      <c r="K28" s="6" t="s">
        <v>479</v>
      </c>
      <c r="L28" s="6" t="s">
        <v>479</v>
      </c>
      <c r="M28" s="6" t="s">
        <v>479</v>
      </c>
      <c r="N28" s="6" t="s">
        <v>479</v>
      </c>
      <c r="O28" s="6" t="s">
        <v>479</v>
      </c>
    </row>
    <row r="29" spans="1:15" x14ac:dyDescent="0.25">
      <c r="A29" t="s">
        <v>128</v>
      </c>
      <c r="B29" t="s">
        <v>335</v>
      </c>
      <c r="C29" t="s">
        <v>28</v>
      </c>
      <c r="D29" t="s">
        <v>129</v>
      </c>
      <c r="E29" t="s">
        <v>27</v>
      </c>
      <c r="F29" t="s">
        <v>29</v>
      </c>
      <c r="G29" t="s">
        <v>130</v>
      </c>
      <c r="H29" t="s">
        <v>467</v>
      </c>
      <c r="I29" t="s">
        <v>126</v>
      </c>
      <c r="J29" t="s">
        <v>405</v>
      </c>
      <c r="K29" s="6" t="s">
        <v>479</v>
      </c>
      <c r="L29" s="6" t="s">
        <v>479</v>
      </c>
      <c r="M29" s="6" t="s">
        <v>479</v>
      </c>
      <c r="N29" s="6" t="s">
        <v>479</v>
      </c>
      <c r="O29" s="6" t="s">
        <v>479</v>
      </c>
    </row>
    <row r="30" spans="1:15" x14ac:dyDescent="0.25">
      <c r="A30" t="s">
        <v>133</v>
      </c>
      <c r="B30" t="s">
        <v>336</v>
      </c>
      <c r="C30" t="s">
        <v>28</v>
      </c>
      <c r="D30" t="s">
        <v>134</v>
      </c>
      <c r="E30" t="s">
        <v>27</v>
      </c>
      <c r="F30" t="s">
        <v>29</v>
      </c>
      <c r="G30" t="s">
        <v>135</v>
      </c>
      <c r="H30" t="s">
        <v>468</v>
      </c>
      <c r="I30" t="s">
        <v>131</v>
      </c>
      <c r="J30" t="s">
        <v>406</v>
      </c>
      <c r="K30" s="6" t="s">
        <v>479</v>
      </c>
      <c r="L30" s="6" t="s">
        <v>479</v>
      </c>
      <c r="M30" s="6" t="s">
        <v>479</v>
      </c>
      <c r="N30" s="6" t="s">
        <v>479</v>
      </c>
      <c r="O30" s="6" t="s">
        <v>479</v>
      </c>
    </row>
    <row r="31" spans="1:15" x14ac:dyDescent="0.25">
      <c r="A31" t="s">
        <v>138</v>
      </c>
      <c r="B31" t="s">
        <v>336</v>
      </c>
      <c r="C31" t="s">
        <v>28</v>
      </c>
      <c r="D31" t="s">
        <v>44</v>
      </c>
      <c r="E31" t="s">
        <v>27</v>
      </c>
      <c r="F31" t="s">
        <v>29</v>
      </c>
      <c r="G31" s="6" t="s">
        <v>479</v>
      </c>
      <c r="H31" s="6" t="s">
        <v>479</v>
      </c>
      <c r="I31" t="s">
        <v>136</v>
      </c>
      <c r="J31" t="s">
        <v>407</v>
      </c>
      <c r="K31" s="6" t="s">
        <v>479</v>
      </c>
      <c r="L31" s="6" t="s">
        <v>479</v>
      </c>
      <c r="M31" s="6" t="s">
        <v>479</v>
      </c>
      <c r="N31" s="6" t="s">
        <v>479</v>
      </c>
      <c r="O31" s="6" t="s">
        <v>479</v>
      </c>
    </row>
    <row r="32" spans="1:15" x14ac:dyDescent="0.25">
      <c r="A32" t="s">
        <v>297</v>
      </c>
      <c r="B32" t="s">
        <v>337</v>
      </c>
      <c r="C32" t="s">
        <v>293</v>
      </c>
      <c r="D32" t="s">
        <v>40</v>
      </c>
      <c r="E32" t="s">
        <v>27</v>
      </c>
      <c r="F32" t="s">
        <v>29</v>
      </c>
      <c r="G32" s="5" t="s">
        <v>298</v>
      </c>
      <c r="H32" t="s">
        <v>469</v>
      </c>
      <c r="I32" s="5" t="s">
        <v>295</v>
      </c>
      <c r="J32" t="s">
        <v>408</v>
      </c>
      <c r="K32" s="6" t="s">
        <v>479</v>
      </c>
      <c r="L32" s="6" t="s">
        <v>479</v>
      </c>
      <c r="M32" s="6" t="s">
        <v>479</v>
      </c>
      <c r="N32" s="6" t="s">
        <v>479</v>
      </c>
      <c r="O32" s="6" t="s">
        <v>479</v>
      </c>
    </row>
    <row r="33" spans="1:15" x14ac:dyDescent="0.25">
      <c r="A33" t="s">
        <v>276</v>
      </c>
      <c r="B33" t="s">
        <v>338</v>
      </c>
      <c r="C33" t="s">
        <v>28</v>
      </c>
      <c r="D33" t="s">
        <v>95</v>
      </c>
      <c r="E33" t="s">
        <v>272</v>
      </c>
      <c r="F33" t="s">
        <v>29</v>
      </c>
      <c r="G33" t="s">
        <v>277</v>
      </c>
      <c r="H33" t="s">
        <v>470</v>
      </c>
      <c r="I33" t="s">
        <v>274</v>
      </c>
      <c r="J33" t="s">
        <v>409</v>
      </c>
      <c r="K33" s="6" t="s">
        <v>479</v>
      </c>
      <c r="L33" s="6" t="s">
        <v>479</v>
      </c>
      <c r="M33" s="6" t="s">
        <v>479</v>
      </c>
      <c r="N33" s="6" t="s">
        <v>479</v>
      </c>
      <c r="O33" s="6" t="s">
        <v>479</v>
      </c>
    </row>
    <row r="34" spans="1:15" x14ac:dyDescent="0.25">
      <c r="A34" t="s">
        <v>301</v>
      </c>
      <c r="B34" t="s">
        <v>339</v>
      </c>
      <c r="C34" t="s">
        <v>293</v>
      </c>
      <c r="D34" t="s">
        <v>44</v>
      </c>
      <c r="E34" t="s">
        <v>27</v>
      </c>
      <c r="F34" t="s">
        <v>29</v>
      </c>
      <c r="G34" s="5" t="s">
        <v>302</v>
      </c>
      <c r="H34" t="s">
        <v>471</v>
      </c>
      <c r="I34" s="5" t="s">
        <v>299</v>
      </c>
      <c r="J34" t="s">
        <v>410</v>
      </c>
      <c r="K34" s="6" t="s">
        <v>479</v>
      </c>
      <c r="L34" s="6" t="s">
        <v>479</v>
      </c>
      <c r="M34" s="6" t="s">
        <v>479</v>
      </c>
      <c r="N34" s="6" t="s">
        <v>479</v>
      </c>
      <c r="O34" s="6" t="s">
        <v>479</v>
      </c>
    </row>
    <row r="35" spans="1:15" x14ac:dyDescent="0.25">
      <c r="A35" t="s">
        <v>280</v>
      </c>
      <c r="B35" t="s">
        <v>340</v>
      </c>
      <c r="C35" t="s">
        <v>28</v>
      </c>
      <c r="D35" t="s">
        <v>95</v>
      </c>
      <c r="E35" t="s">
        <v>272</v>
      </c>
      <c r="F35" t="s">
        <v>29</v>
      </c>
      <c r="G35" t="s">
        <v>281</v>
      </c>
      <c r="H35" t="s">
        <v>472</v>
      </c>
      <c r="I35" t="s">
        <v>278</v>
      </c>
      <c r="J35" t="s">
        <v>411</v>
      </c>
      <c r="K35" s="6" t="s">
        <v>479</v>
      </c>
      <c r="L35" s="6" t="s">
        <v>479</v>
      </c>
      <c r="M35" s="6" t="s">
        <v>479</v>
      </c>
      <c r="N35" s="6" t="s">
        <v>479</v>
      </c>
      <c r="O35" s="6" t="s">
        <v>479</v>
      </c>
    </row>
    <row r="36" spans="1:15" x14ac:dyDescent="0.25">
      <c r="A36" t="s">
        <v>305</v>
      </c>
      <c r="B36" t="s">
        <v>341</v>
      </c>
      <c r="C36" t="s">
        <v>293</v>
      </c>
      <c r="D36" t="s">
        <v>48</v>
      </c>
      <c r="E36" t="s">
        <v>27</v>
      </c>
      <c r="F36" t="s">
        <v>29</v>
      </c>
      <c r="G36" s="5" t="s">
        <v>306</v>
      </c>
      <c r="H36" t="s">
        <v>473</v>
      </c>
      <c r="I36" s="5" t="s">
        <v>303</v>
      </c>
      <c r="J36" t="s">
        <v>412</v>
      </c>
      <c r="K36" s="6" t="s">
        <v>479</v>
      </c>
      <c r="L36" s="6" t="s">
        <v>479</v>
      </c>
      <c r="M36" s="6" t="s">
        <v>479</v>
      </c>
      <c r="N36" s="6" t="s">
        <v>479</v>
      </c>
      <c r="O36" s="6" t="s">
        <v>479</v>
      </c>
    </row>
    <row r="37" spans="1:15" x14ac:dyDescent="0.25">
      <c r="A37" t="s">
        <v>284</v>
      </c>
      <c r="B37" t="s">
        <v>342</v>
      </c>
      <c r="C37" t="s">
        <v>28</v>
      </c>
      <c r="D37" t="s">
        <v>95</v>
      </c>
      <c r="E37" t="s">
        <v>272</v>
      </c>
      <c r="F37" t="s">
        <v>29</v>
      </c>
      <c r="G37" t="s">
        <v>285</v>
      </c>
      <c r="H37" t="s">
        <v>474</v>
      </c>
      <c r="I37" t="s">
        <v>282</v>
      </c>
      <c r="J37" t="s">
        <v>413</v>
      </c>
      <c r="K37" s="6" t="s">
        <v>479</v>
      </c>
      <c r="L37" s="6" t="s">
        <v>479</v>
      </c>
      <c r="M37" s="6" t="s">
        <v>479</v>
      </c>
      <c r="N37" s="6" t="s">
        <v>479</v>
      </c>
      <c r="O37" s="6" t="s">
        <v>479</v>
      </c>
    </row>
    <row r="38" spans="1:15" x14ac:dyDescent="0.25">
      <c r="A38" t="s">
        <v>309</v>
      </c>
      <c r="B38" t="s">
        <v>343</v>
      </c>
      <c r="C38" t="s">
        <v>293</v>
      </c>
      <c r="D38" t="s">
        <v>40</v>
      </c>
      <c r="E38" t="s">
        <v>27</v>
      </c>
      <c r="F38" t="s">
        <v>29</v>
      </c>
      <c r="G38" s="5" t="s">
        <v>310</v>
      </c>
      <c r="H38" t="s">
        <v>475</v>
      </c>
      <c r="I38" s="5" t="s">
        <v>307</v>
      </c>
      <c r="J38" t="s">
        <v>414</v>
      </c>
      <c r="K38" s="6" t="s">
        <v>479</v>
      </c>
      <c r="L38" s="6" t="s">
        <v>479</v>
      </c>
      <c r="M38" s="6" t="s">
        <v>479</v>
      </c>
      <c r="N38" s="6" t="s">
        <v>479</v>
      </c>
      <c r="O38" s="6" t="s">
        <v>479</v>
      </c>
    </row>
    <row r="39" spans="1:15" x14ac:dyDescent="0.25">
      <c r="A39" t="s">
        <v>288</v>
      </c>
      <c r="B39" t="s">
        <v>344</v>
      </c>
      <c r="C39" t="s">
        <v>28</v>
      </c>
      <c r="D39" t="s">
        <v>95</v>
      </c>
      <c r="E39" t="s">
        <v>272</v>
      </c>
      <c r="F39" t="s">
        <v>29</v>
      </c>
      <c r="G39" t="s">
        <v>289</v>
      </c>
      <c r="H39" t="s">
        <v>476</v>
      </c>
      <c r="I39" t="s">
        <v>286</v>
      </c>
      <c r="J39" t="s">
        <v>415</v>
      </c>
      <c r="K39" s="6" t="s">
        <v>479</v>
      </c>
      <c r="L39" s="6" t="s">
        <v>479</v>
      </c>
      <c r="M39" s="6" t="s">
        <v>479</v>
      </c>
      <c r="N39" s="6" t="s">
        <v>479</v>
      </c>
      <c r="O39" s="6" t="s">
        <v>479</v>
      </c>
    </row>
    <row r="40" spans="1:15" x14ac:dyDescent="0.25">
      <c r="A40" t="s">
        <v>141</v>
      </c>
      <c r="B40" t="s">
        <v>345</v>
      </c>
      <c r="C40" t="s">
        <v>28</v>
      </c>
      <c r="D40" t="s">
        <v>48</v>
      </c>
      <c r="E40" t="s">
        <v>27</v>
      </c>
      <c r="F40" t="s">
        <v>29</v>
      </c>
      <c r="G40" s="6" t="s">
        <v>479</v>
      </c>
      <c r="H40" s="6" t="s">
        <v>479</v>
      </c>
      <c r="I40" t="s">
        <v>139</v>
      </c>
      <c r="J40" t="s">
        <v>416</v>
      </c>
      <c r="K40" s="6" t="s">
        <v>479</v>
      </c>
      <c r="L40" s="6" t="s">
        <v>479</v>
      </c>
      <c r="M40" s="6" t="s">
        <v>479</v>
      </c>
      <c r="N40" s="6" t="s">
        <v>479</v>
      </c>
      <c r="O40" s="6" t="s">
        <v>479</v>
      </c>
    </row>
    <row r="41" spans="1:15" x14ac:dyDescent="0.25">
      <c r="A41" t="s">
        <v>144</v>
      </c>
      <c r="B41" t="s">
        <v>346</v>
      </c>
      <c r="C41" t="s">
        <v>28</v>
      </c>
      <c r="D41" t="s">
        <v>48</v>
      </c>
      <c r="E41" t="s">
        <v>27</v>
      </c>
      <c r="F41" t="s">
        <v>29</v>
      </c>
      <c r="G41" s="6" t="s">
        <v>479</v>
      </c>
      <c r="H41" s="6" t="s">
        <v>479</v>
      </c>
      <c r="I41" t="s">
        <v>142</v>
      </c>
      <c r="J41" t="s">
        <v>417</v>
      </c>
      <c r="K41" s="6" t="s">
        <v>479</v>
      </c>
      <c r="L41" s="6" t="s">
        <v>479</v>
      </c>
      <c r="M41" s="6" t="s">
        <v>479</v>
      </c>
      <c r="N41" s="6" t="s">
        <v>479</v>
      </c>
      <c r="O41" s="6" t="s">
        <v>479</v>
      </c>
    </row>
    <row r="42" spans="1:15" x14ac:dyDescent="0.25">
      <c r="A42" t="s">
        <v>147</v>
      </c>
      <c r="B42" t="s">
        <v>347</v>
      </c>
      <c r="C42" t="s">
        <v>28</v>
      </c>
      <c r="D42" t="s">
        <v>44</v>
      </c>
      <c r="E42" t="s">
        <v>27</v>
      </c>
      <c r="F42" t="s">
        <v>29</v>
      </c>
      <c r="G42" s="6" t="s">
        <v>479</v>
      </c>
      <c r="H42" s="6" t="s">
        <v>479</v>
      </c>
      <c r="I42" t="s">
        <v>145</v>
      </c>
      <c r="J42" t="s">
        <v>418</v>
      </c>
      <c r="K42" s="6" t="s">
        <v>479</v>
      </c>
      <c r="L42" s="6" t="s">
        <v>479</v>
      </c>
      <c r="M42" s="6" t="s">
        <v>479</v>
      </c>
      <c r="N42" s="6" t="s">
        <v>479</v>
      </c>
      <c r="O42" s="6" t="s">
        <v>479</v>
      </c>
    </row>
    <row r="43" spans="1:15" x14ac:dyDescent="0.25">
      <c r="A43" t="s">
        <v>150</v>
      </c>
      <c r="B43" t="s">
        <v>348</v>
      </c>
      <c r="C43" t="s">
        <v>28</v>
      </c>
      <c r="D43" t="s">
        <v>44</v>
      </c>
      <c r="E43" t="s">
        <v>27</v>
      </c>
      <c r="F43" t="s">
        <v>29</v>
      </c>
      <c r="G43" s="6" t="s">
        <v>479</v>
      </c>
      <c r="H43" s="6" t="s">
        <v>479</v>
      </c>
      <c r="I43" t="s">
        <v>148</v>
      </c>
      <c r="J43" t="s">
        <v>419</v>
      </c>
      <c r="K43" s="6" t="s">
        <v>479</v>
      </c>
      <c r="L43" s="6" t="s">
        <v>479</v>
      </c>
      <c r="M43" s="6" t="s">
        <v>479</v>
      </c>
      <c r="N43" s="6" t="s">
        <v>479</v>
      </c>
      <c r="O43" s="6" t="s">
        <v>479</v>
      </c>
    </row>
    <row r="44" spans="1:15" x14ac:dyDescent="0.25">
      <c r="A44" t="s">
        <v>153</v>
      </c>
      <c r="B44" t="s">
        <v>349</v>
      </c>
      <c r="C44" t="s">
        <v>28</v>
      </c>
      <c r="D44" t="s">
        <v>44</v>
      </c>
      <c r="E44" t="s">
        <v>27</v>
      </c>
      <c r="F44" t="s">
        <v>29</v>
      </c>
      <c r="G44" s="6" t="s">
        <v>479</v>
      </c>
      <c r="H44" s="6" t="s">
        <v>479</v>
      </c>
      <c r="I44" t="s">
        <v>151</v>
      </c>
      <c r="J44" t="s">
        <v>420</v>
      </c>
      <c r="K44" s="6" t="s">
        <v>479</v>
      </c>
      <c r="L44" s="6" t="s">
        <v>479</v>
      </c>
      <c r="M44" s="6" t="s">
        <v>479</v>
      </c>
      <c r="N44" s="6" t="s">
        <v>479</v>
      </c>
      <c r="O44" s="6" t="s">
        <v>479</v>
      </c>
    </row>
    <row r="45" spans="1:15" x14ac:dyDescent="0.25">
      <c r="A45" t="s">
        <v>156</v>
      </c>
      <c r="B45" t="s">
        <v>350</v>
      </c>
      <c r="C45" t="s">
        <v>28</v>
      </c>
      <c r="D45" t="s">
        <v>95</v>
      </c>
      <c r="E45" t="s">
        <v>27</v>
      </c>
      <c r="F45" t="s">
        <v>29</v>
      </c>
      <c r="G45" s="6" t="s">
        <v>479</v>
      </c>
      <c r="H45" s="6" t="s">
        <v>479</v>
      </c>
      <c r="I45" t="s">
        <v>154</v>
      </c>
      <c r="J45" t="s">
        <v>421</v>
      </c>
      <c r="K45" s="6" t="s">
        <v>479</v>
      </c>
      <c r="L45" s="6" t="s">
        <v>479</v>
      </c>
      <c r="M45" s="6" t="s">
        <v>479</v>
      </c>
      <c r="N45" s="6" t="s">
        <v>479</v>
      </c>
      <c r="O45" s="6" t="s">
        <v>479</v>
      </c>
    </row>
    <row r="46" spans="1:15" x14ac:dyDescent="0.25">
      <c r="A46" t="s">
        <v>159</v>
      </c>
      <c r="B46" t="s">
        <v>351</v>
      </c>
      <c r="C46" t="s">
        <v>28</v>
      </c>
      <c r="D46" t="s">
        <v>95</v>
      </c>
      <c r="E46" t="s">
        <v>27</v>
      </c>
      <c r="F46" t="s">
        <v>29</v>
      </c>
      <c r="G46" s="6" t="s">
        <v>479</v>
      </c>
      <c r="H46" s="6" t="s">
        <v>479</v>
      </c>
      <c r="I46" t="s">
        <v>157</v>
      </c>
      <c r="J46" t="s">
        <v>422</v>
      </c>
      <c r="K46" s="6" t="s">
        <v>479</v>
      </c>
      <c r="L46" s="6" t="s">
        <v>479</v>
      </c>
      <c r="M46" s="6" t="s">
        <v>479</v>
      </c>
      <c r="N46" s="6" t="s">
        <v>479</v>
      </c>
      <c r="O46" s="6" t="s">
        <v>479</v>
      </c>
    </row>
    <row r="47" spans="1:15" x14ac:dyDescent="0.25">
      <c r="A47" t="s">
        <v>162</v>
      </c>
      <c r="B47" t="s">
        <v>352</v>
      </c>
      <c r="C47" t="s">
        <v>28</v>
      </c>
      <c r="D47" t="s">
        <v>48</v>
      </c>
      <c r="E47" t="s">
        <v>27</v>
      </c>
      <c r="F47" t="s">
        <v>29</v>
      </c>
      <c r="G47" s="6" t="s">
        <v>479</v>
      </c>
      <c r="H47" s="6" t="s">
        <v>479</v>
      </c>
      <c r="I47" t="s">
        <v>160</v>
      </c>
      <c r="J47" t="s">
        <v>423</v>
      </c>
      <c r="K47" s="6" t="s">
        <v>479</v>
      </c>
      <c r="L47" s="6" t="s">
        <v>479</v>
      </c>
      <c r="M47" s="6" t="s">
        <v>479</v>
      </c>
      <c r="N47" s="6" t="s">
        <v>479</v>
      </c>
      <c r="O47" s="6" t="s">
        <v>479</v>
      </c>
    </row>
    <row r="48" spans="1:15" x14ac:dyDescent="0.25">
      <c r="A48" t="s">
        <v>165</v>
      </c>
      <c r="B48" t="s">
        <v>353</v>
      </c>
      <c r="C48" t="s">
        <v>28</v>
      </c>
      <c r="D48" t="s">
        <v>44</v>
      </c>
      <c r="E48" t="s">
        <v>27</v>
      </c>
      <c r="F48" t="s">
        <v>29</v>
      </c>
      <c r="G48" s="6" t="s">
        <v>479</v>
      </c>
      <c r="H48" s="6" t="s">
        <v>479</v>
      </c>
      <c r="I48" t="s">
        <v>163</v>
      </c>
      <c r="J48" t="s">
        <v>424</v>
      </c>
      <c r="K48" s="6" t="s">
        <v>479</v>
      </c>
      <c r="L48" s="6" t="s">
        <v>479</v>
      </c>
      <c r="M48" s="6" t="s">
        <v>479</v>
      </c>
      <c r="N48" s="6" t="s">
        <v>479</v>
      </c>
      <c r="O48" s="6" t="s">
        <v>479</v>
      </c>
    </row>
    <row r="49" spans="1:15" x14ac:dyDescent="0.25">
      <c r="A49" t="s">
        <v>168</v>
      </c>
      <c r="B49" t="s">
        <v>354</v>
      </c>
      <c r="C49" t="s">
        <v>28</v>
      </c>
      <c r="D49" t="s">
        <v>44</v>
      </c>
      <c r="E49" t="s">
        <v>27</v>
      </c>
      <c r="F49" t="s">
        <v>29</v>
      </c>
      <c r="G49" s="6" t="s">
        <v>479</v>
      </c>
      <c r="H49" s="6" t="s">
        <v>479</v>
      </c>
      <c r="I49" t="s">
        <v>166</v>
      </c>
      <c r="J49" t="s">
        <v>425</v>
      </c>
      <c r="K49" s="6" t="s">
        <v>479</v>
      </c>
      <c r="L49" s="6" t="s">
        <v>479</v>
      </c>
      <c r="M49" s="6" t="s">
        <v>479</v>
      </c>
      <c r="N49" s="6" t="s">
        <v>479</v>
      </c>
      <c r="O49" s="6" t="s">
        <v>479</v>
      </c>
    </row>
    <row r="50" spans="1:15" x14ac:dyDescent="0.25">
      <c r="A50" t="s">
        <v>171</v>
      </c>
      <c r="B50" t="s">
        <v>355</v>
      </c>
      <c r="C50" t="s">
        <v>28</v>
      </c>
      <c r="D50" t="s">
        <v>44</v>
      </c>
      <c r="E50" t="s">
        <v>27</v>
      </c>
      <c r="F50" t="s">
        <v>29</v>
      </c>
      <c r="G50" s="6" t="s">
        <v>479</v>
      </c>
      <c r="H50" s="6" t="s">
        <v>479</v>
      </c>
      <c r="I50" t="s">
        <v>169</v>
      </c>
      <c r="J50" t="s">
        <v>426</v>
      </c>
      <c r="K50" s="6" t="s">
        <v>479</v>
      </c>
      <c r="L50" s="6" t="s">
        <v>479</v>
      </c>
      <c r="M50" s="6" t="s">
        <v>479</v>
      </c>
      <c r="N50" s="6" t="s">
        <v>479</v>
      </c>
      <c r="O50" s="6" t="s">
        <v>479</v>
      </c>
    </row>
    <row r="51" spans="1:15" x14ac:dyDescent="0.25">
      <c r="A51" t="s">
        <v>174</v>
      </c>
      <c r="B51" t="s">
        <v>356</v>
      </c>
      <c r="C51" t="s">
        <v>28</v>
      </c>
      <c r="D51" t="s">
        <v>44</v>
      </c>
      <c r="E51" t="s">
        <v>27</v>
      </c>
      <c r="F51" t="s">
        <v>29</v>
      </c>
      <c r="G51" s="6" t="s">
        <v>479</v>
      </c>
      <c r="H51" s="6" t="s">
        <v>479</v>
      </c>
      <c r="I51" t="s">
        <v>172</v>
      </c>
      <c r="J51" t="s">
        <v>427</v>
      </c>
      <c r="K51" s="6" t="s">
        <v>479</v>
      </c>
      <c r="L51" s="6" t="s">
        <v>479</v>
      </c>
      <c r="M51" s="6" t="s">
        <v>479</v>
      </c>
      <c r="N51" s="6" t="s">
        <v>479</v>
      </c>
      <c r="O51" s="6" t="s">
        <v>479</v>
      </c>
    </row>
    <row r="52" spans="1:15" x14ac:dyDescent="0.25">
      <c r="A52" t="s">
        <v>177</v>
      </c>
      <c r="B52" t="s">
        <v>357</v>
      </c>
      <c r="C52" t="s">
        <v>28</v>
      </c>
      <c r="D52" t="s">
        <v>95</v>
      </c>
      <c r="E52" t="s">
        <v>27</v>
      </c>
      <c r="F52" t="s">
        <v>29</v>
      </c>
      <c r="G52" s="6" t="s">
        <v>479</v>
      </c>
      <c r="H52" s="6" t="s">
        <v>479</v>
      </c>
      <c r="I52" t="s">
        <v>175</v>
      </c>
      <c r="J52" t="s">
        <v>428</v>
      </c>
      <c r="K52" s="6" t="s">
        <v>479</v>
      </c>
      <c r="L52" s="6" t="s">
        <v>479</v>
      </c>
      <c r="M52" s="6" t="s">
        <v>479</v>
      </c>
      <c r="N52" s="6" t="s">
        <v>479</v>
      </c>
      <c r="O52" s="6" t="s">
        <v>479</v>
      </c>
    </row>
    <row r="53" spans="1:15" x14ac:dyDescent="0.25">
      <c r="A53" t="s">
        <v>180</v>
      </c>
      <c r="B53" t="s">
        <v>358</v>
      </c>
      <c r="C53" t="s">
        <v>28</v>
      </c>
      <c r="D53" t="s">
        <v>44</v>
      </c>
      <c r="E53" t="s">
        <v>27</v>
      </c>
      <c r="F53" t="s">
        <v>29</v>
      </c>
      <c r="G53" s="6" t="s">
        <v>479</v>
      </c>
      <c r="H53" s="6" t="s">
        <v>479</v>
      </c>
      <c r="I53" t="s">
        <v>178</v>
      </c>
      <c r="J53" t="s">
        <v>429</v>
      </c>
      <c r="K53" s="6" t="s">
        <v>479</v>
      </c>
      <c r="L53" s="6" t="s">
        <v>479</v>
      </c>
      <c r="M53" s="6" t="s">
        <v>479</v>
      </c>
      <c r="N53" s="6" t="s">
        <v>479</v>
      </c>
      <c r="O53" s="6" t="s">
        <v>479</v>
      </c>
    </row>
    <row r="54" spans="1:15" x14ac:dyDescent="0.25">
      <c r="A54" t="s">
        <v>183</v>
      </c>
      <c r="B54" t="s">
        <v>358</v>
      </c>
      <c r="C54" t="s">
        <v>28</v>
      </c>
      <c r="D54" t="s">
        <v>95</v>
      </c>
      <c r="E54" t="s">
        <v>27</v>
      </c>
      <c r="F54" t="s">
        <v>29</v>
      </c>
      <c r="G54" s="6" t="s">
        <v>479</v>
      </c>
      <c r="H54" s="6" t="s">
        <v>479</v>
      </c>
      <c r="I54" t="s">
        <v>181</v>
      </c>
      <c r="J54" t="s">
        <v>430</v>
      </c>
      <c r="K54" s="6" t="s">
        <v>479</v>
      </c>
      <c r="L54" s="6" t="s">
        <v>479</v>
      </c>
      <c r="M54" s="6" t="s">
        <v>479</v>
      </c>
      <c r="N54" s="6" t="s">
        <v>479</v>
      </c>
      <c r="O54" s="6" t="s">
        <v>479</v>
      </c>
    </row>
    <row r="55" spans="1:15" x14ac:dyDescent="0.25">
      <c r="A55" t="s">
        <v>186</v>
      </c>
      <c r="B55" t="s">
        <v>359</v>
      </c>
      <c r="C55" t="s">
        <v>28</v>
      </c>
      <c r="D55" t="s">
        <v>44</v>
      </c>
      <c r="E55" t="s">
        <v>27</v>
      </c>
      <c r="F55" t="s">
        <v>29</v>
      </c>
      <c r="G55" s="6" t="s">
        <v>479</v>
      </c>
      <c r="H55" s="6" t="s">
        <v>479</v>
      </c>
      <c r="I55" t="s">
        <v>184</v>
      </c>
      <c r="J55" t="s">
        <v>431</v>
      </c>
      <c r="K55" s="6" t="s">
        <v>479</v>
      </c>
      <c r="L55" s="6" t="s">
        <v>479</v>
      </c>
      <c r="M55" s="6" t="s">
        <v>479</v>
      </c>
      <c r="N55" s="6" t="s">
        <v>479</v>
      </c>
      <c r="O55" s="6" t="s">
        <v>479</v>
      </c>
    </row>
    <row r="56" spans="1:15" x14ac:dyDescent="0.25">
      <c r="A56" t="s">
        <v>189</v>
      </c>
      <c r="B56" t="s">
        <v>360</v>
      </c>
      <c r="C56" t="s">
        <v>28</v>
      </c>
      <c r="D56" t="s">
        <v>134</v>
      </c>
      <c r="E56" t="s">
        <v>27</v>
      </c>
      <c r="F56" t="s">
        <v>29</v>
      </c>
      <c r="G56" s="6" t="s">
        <v>479</v>
      </c>
      <c r="H56" s="6" t="s">
        <v>479</v>
      </c>
      <c r="I56" t="s">
        <v>187</v>
      </c>
      <c r="J56" t="s">
        <v>432</v>
      </c>
      <c r="K56" s="6" t="s">
        <v>479</v>
      </c>
      <c r="L56" s="6" t="s">
        <v>479</v>
      </c>
      <c r="M56" s="6" t="s">
        <v>479</v>
      </c>
      <c r="N56" s="6" t="s">
        <v>479</v>
      </c>
      <c r="O56" s="6" t="s">
        <v>479</v>
      </c>
    </row>
    <row r="57" spans="1:15" x14ac:dyDescent="0.25">
      <c r="A57" t="s">
        <v>192</v>
      </c>
      <c r="B57" t="s">
        <v>361</v>
      </c>
      <c r="C57" t="s">
        <v>28</v>
      </c>
      <c r="D57" t="s">
        <v>48</v>
      </c>
      <c r="E57" t="s">
        <v>27</v>
      </c>
      <c r="F57" t="s">
        <v>29</v>
      </c>
      <c r="G57" s="6" t="s">
        <v>479</v>
      </c>
      <c r="H57" s="6" t="s">
        <v>479</v>
      </c>
      <c r="I57" t="s">
        <v>190</v>
      </c>
      <c r="J57" t="s">
        <v>433</v>
      </c>
      <c r="K57" s="6" t="s">
        <v>479</v>
      </c>
      <c r="L57" s="6" t="s">
        <v>479</v>
      </c>
      <c r="M57" s="6" t="s">
        <v>479</v>
      </c>
      <c r="N57" s="6" t="s">
        <v>479</v>
      </c>
      <c r="O57" s="6" t="s">
        <v>479</v>
      </c>
    </row>
    <row r="58" spans="1:15" x14ac:dyDescent="0.25">
      <c r="A58" t="s">
        <v>195</v>
      </c>
      <c r="B58" t="s">
        <v>362</v>
      </c>
      <c r="C58" t="s">
        <v>28</v>
      </c>
      <c r="D58" t="s">
        <v>134</v>
      </c>
      <c r="E58" t="s">
        <v>27</v>
      </c>
      <c r="F58" t="s">
        <v>29</v>
      </c>
      <c r="G58" s="6" t="s">
        <v>479</v>
      </c>
      <c r="H58" s="6" t="s">
        <v>479</v>
      </c>
      <c r="I58" t="s">
        <v>193</v>
      </c>
      <c r="J58" t="s">
        <v>434</v>
      </c>
      <c r="K58" s="6" t="s">
        <v>479</v>
      </c>
      <c r="L58" s="6" t="s">
        <v>479</v>
      </c>
      <c r="M58" s="6" t="s">
        <v>479</v>
      </c>
      <c r="N58" s="6" t="s">
        <v>479</v>
      </c>
      <c r="O58" s="6" t="s">
        <v>479</v>
      </c>
    </row>
    <row r="59" spans="1:15" x14ac:dyDescent="0.25">
      <c r="A59" t="s">
        <v>198</v>
      </c>
      <c r="B59" t="s">
        <v>363</v>
      </c>
      <c r="C59" t="s">
        <v>28</v>
      </c>
      <c r="D59" t="s">
        <v>48</v>
      </c>
      <c r="E59" t="s">
        <v>27</v>
      </c>
      <c r="F59" t="s">
        <v>29</v>
      </c>
      <c r="G59" s="6" t="s">
        <v>479</v>
      </c>
      <c r="H59" s="6" t="s">
        <v>479</v>
      </c>
      <c r="I59" t="s">
        <v>196</v>
      </c>
      <c r="J59" t="s">
        <v>435</v>
      </c>
      <c r="K59" s="6" t="s">
        <v>479</v>
      </c>
      <c r="L59" s="6" t="s">
        <v>479</v>
      </c>
      <c r="M59" s="6" t="s">
        <v>479</v>
      </c>
      <c r="N59" s="6" t="s">
        <v>479</v>
      </c>
      <c r="O59" s="6" t="s">
        <v>479</v>
      </c>
    </row>
    <row r="60" spans="1:15" x14ac:dyDescent="0.25">
      <c r="A60" t="s">
        <v>201</v>
      </c>
      <c r="B60" t="s">
        <v>364</v>
      </c>
      <c r="C60" t="s">
        <v>28</v>
      </c>
      <c r="D60" t="s">
        <v>44</v>
      </c>
      <c r="E60" t="s">
        <v>27</v>
      </c>
      <c r="F60" t="s">
        <v>29</v>
      </c>
      <c r="G60" s="6" t="s">
        <v>479</v>
      </c>
      <c r="H60" s="6" t="s">
        <v>479</v>
      </c>
      <c r="I60" t="s">
        <v>199</v>
      </c>
      <c r="J60" t="s">
        <v>436</v>
      </c>
      <c r="K60" s="6" t="s">
        <v>479</v>
      </c>
      <c r="L60" s="6" t="s">
        <v>479</v>
      </c>
      <c r="M60" s="6" t="s">
        <v>479</v>
      </c>
      <c r="N60" s="6" t="s">
        <v>479</v>
      </c>
      <c r="O60" s="6" t="s">
        <v>479</v>
      </c>
    </row>
    <row r="61" spans="1:15" x14ac:dyDescent="0.25">
      <c r="A61" t="s">
        <v>204</v>
      </c>
      <c r="B61" t="s">
        <v>365</v>
      </c>
      <c r="C61" t="s">
        <v>28</v>
      </c>
      <c r="D61" t="s">
        <v>44</v>
      </c>
      <c r="E61" t="s">
        <v>27</v>
      </c>
      <c r="F61" t="s">
        <v>29</v>
      </c>
      <c r="G61" s="6" t="s">
        <v>479</v>
      </c>
      <c r="H61" s="6" t="s">
        <v>479</v>
      </c>
      <c r="I61" t="s">
        <v>202</v>
      </c>
      <c r="J61" t="s">
        <v>437</v>
      </c>
      <c r="K61" s="6" t="s">
        <v>479</v>
      </c>
      <c r="L61" s="6" t="s">
        <v>479</v>
      </c>
      <c r="M61" s="6" t="s">
        <v>479</v>
      </c>
      <c r="N61" s="6" t="s">
        <v>479</v>
      </c>
      <c r="O61" s="6" t="s">
        <v>479</v>
      </c>
    </row>
    <row r="62" spans="1:15" x14ac:dyDescent="0.25">
      <c r="A62" t="s">
        <v>207</v>
      </c>
      <c r="B62" t="s">
        <v>366</v>
      </c>
      <c r="C62" t="s">
        <v>28</v>
      </c>
      <c r="D62" t="s">
        <v>48</v>
      </c>
      <c r="E62" t="s">
        <v>27</v>
      </c>
      <c r="F62" t="s">
        <v>29</v>
      </c>
      <c r="G62" s="6" t="s">
        <v>479</v>
      </c>
      <c r="H62" s="6" t="s">
        <v>479</v>
      </c>
      <c r="I62" t="s">
        <v>205</v>
      </c>
      <c r="J62" t="s">
        <v>438</v>
      </c>
      <c r="K62" s="6" t="s">
        <v>479</v>
      </c>
      <c r="L62" s="6" t="s">
        <v>479</v>
      </c>
      <c r="M62" s="6" t="s">
        <v>479</v>
      </c>
      <c r="N62" s="6" t="s">
        <v>479</v>
      </c>
      <c r="O62" s="6" t="s">
        <v>479</v>
      </c>
    </row>
    <row r="63" spans="1:15" x14ac:dyDescent="0.25">
      <c r="A63" t="s">
        <v>210</v>
      </c>
      <c r="B63" t="s">
        <v>367</v>
      </c>
      <c r="C63" t="s">
        <v>28</v>
      </c>
      <c r="D63" t="s">
        <v>48</v>
      </c>
      <c r="E63" t="s">
        <v>27</v>
      </c>
      <c r="F63" t="s">
        <v>29</v>
      </c>
      <c r="G63" s="6" t="s">
        <v>479</v>
      </c>
      <c r="H63" s="6" t="s">
        <v>479</v>
      </c>
      <c r="I63" t="s">
        <v>208</v>
      </c>
      <c r="J63" t="s">
        <v>439</v>
      </c>
      <c r="K63" s="6" t="s">
        <v>479</v>
      </c>
      <c r="L63" s="6" t="s">
        <v>479</v>
      </c>
      <c r="M63" s="6" t="s">
        <v>479</v>
      </c>
      <c r="N63" s="6" t="s">
        <v>479</v>
      </c>
      <c r="O63" s="6" t="s">
        <v>479</v>
      </c>
    </row>
    <row r="64" spans="1:15" x14ac:dyDescent="0.25">
      <c r="A64" t="s">
        <v>213</v>
      </c>
      <c r="B64" t="s">
        <v>368</v>
      </c>
      <c r="C64" t="s">
        <v>28</v>
      </c>
      <c r="D64" t="s">
        <v>40</v>
      </c>
      <c r="E64" t="s">
        <v>27</v>
      </c>
      <c r="F64" t="s">
        <v>29</v>
      </c>
      <c r="G64" s="6" t="s">
        <v>479</v>
      </c>
      <c r="H64" s="6" t="s">
        <v>479</v>
      </c>
      <c r="I64" t="s">
        <v>211</v>
      </c>
      <c r="J64" t="s">
        <v>440</v>
      </c>
      <c r="K64" s="6" t="s">
        <v>479</v>
      </c>
      <c r="L64" s="6" t="s">
        <v>479</v>
      </c>
      <c r="M64" s="6" t="s">
        <v>479</v>
      </c>
      <c r="N64" s="6" t="s">
        <v>479</v>
      </c>
      <c r="O64" s="6" t="s">
        <v>479</v>
      </c>
    </row>
    <row r="65" spans="1:15" x14ac:dyDescent="0.25">
      <c r="A65" t="s">
        <v>216</v>
      </c>
      <c r="B65" t="s">
        <v>369</v>
      </c>
      <c r="C65" t="s">
        <v>28</v>
      </c>
      <c r="D65" t="s">
        <v>40</v>
      </c>
      <c r="E65" t="s">
        <v>27</v>
      </c>
      <c r="F65" t="s">
        <v>29</v>
      </c>
      <c r="G65" t="s">
        <v>217</v>
      </c>
      <c r="H65" t="s">
        <v>477</v>
      </c>
      <c r="I65" t="s">
        <v>214</v>
      </c>
      <c r="J65" t="s">
        <v>441</v>
      </c>
      <c r="K65" s="6" t="s">
        <v>479</v>
      </c>
      <c r="L65" s="6" t="s">
        <v>479</v>
      </c>
      <c r="M65" s="6" t="s">
        <v>479</v>
      </c>
      <c r="N65" s="6" t="s">
        <v>479</v>
      </c>
      <c r="O65" s="6" t="s">
        <v>479</v>
      </c>
    </row>
    <row r="66" spans="1:15" x14ac:dyDescent="0.25">
      <c r="A66" t="s">
        <v>220</v>
      </c>
      <c r="B66" t="s">
        <v>370</v>
      </c>
      <c r="C66" t="s">
        <v>28</v>
      </c>
      <c r="D66" t="s">
        <v>48</v>
      </c>
      <c r="E66" t="s">
        <v>27</v>
      </c>
      <c r="F66" t="s">
        <v>29</v>
      </c>
      <c r="G66" s="6" t="s">
        <v>479</v>
      </c>
      <c r="H66" s="6" t="s">
        <v>479</v>
      </c>
      <c r="I66" t="s">
        <v>218</v>
      </c>
      <c r="J66" t="s">
        <v>442</v>
      </c>
      <c r="K66" s="6" t="s">
        <v>479</v>
      </c>
      <c r="L66" s="6" t="s">
        <v>479</v>
      </c>
      <c r="M66" s="6" t="s">
        <v>479</v>
      </c>
      <c r="N66" s="6" t="s">
        <v>479</v>
      </c>
      <c r="O66" s="6" t="s">
        <v>479</v>
      </c>
    </row>
    <row r="67" spans="1:15" x14ac:dyDescent="0.25">
      <c r="A67" t="s">
        <v>223</v>
      </c>
      <c r="B67" t="s">
        <v>371</v>
      </c>
      <c r="C67" t="s">
        <v>28</v>
      </c>
      <c r="D67" t="s">
        <v>44</v>
      </c>
      <c r="E67" t="s">
        <v>27</v>
      </c>
      <c r="F67" t="s">
        <v>29</v>
      </c>
      <c r="G67" s="6" t="s">
        <v>479</v>
      </c>
      <c r="H67" s="6" t="s">
        <v>479</v>
      </c>
      <c r="I67" t="s">
        <v>221</v>
      </c>
      <c r="J67" t="s">
        <v>443</v>
      </c>
      <c r="K67" s="6" t="s">
        <v>479</v>
      </c>
      <c r="L67" s="6" t="s">
        <v>479</v>
      </c>
      <c r="M67" s="6" t="s">
        <v>479</v>
      </c>
      <c r="N67" s="6" t="s">
        <v>479</v>
      </c>
      <c r="O67" s="6" t="s">
        <v>479</v>
      </c>
    </row>
    <row r="68" spans="1:15" x14ac:dyDescent="0.25">
      <c r="A68" t="s">
        <v>226</v>
      </c>
      <c r="B68" t="s">
        <v>380</v>
      </c>
      <c r="C68" t="s">
        <v>28</v>
      </c>
      <c r="D68" t="s">
        <v>95</v>
      </c>
      <c r="E68" t="s">
        <v>27</v>
      </c>
      <c r="F68" t="s">
        <v>29</v>
      </c>
      <c r="G68" t="s">
        <v>478</v>
      </c>
      <c r="H68" t="s">
        <v>224</v>
      </c>
      <c r="I68" s="6" t="s">
        <v>479</v>
      </c>
      <c r="J68" s="6" t="s">
        <v>479</v>
      </c>
      <c r="K68" s="6" t="s">
        <v>479</v>
      </c>
      <c r="L68" s="6" t="s">
        <v>479</v>
      </c>
      <c r="M68" s="6" t="s">
        <v>479</v>
      </c>
      <c r="N68" s="6" t="s">
        <v>479</v>
      </c>
      <c r="O68" s="6" t="s">
        <v>479</v>
      </c>
    </row>
    <row r="69" spans="1:15" x14ac:dyDescent="0.25">
      <c r="A69" t="s">
        <v>229</v>
      </c>
      <c r="B69" t="s">
        <v>372</v>
      </c>
      <c r="C69" t="s">
        <v>28</v>
      </c>
      <c r="D69" t="s">
        <v>44</v>
      </c>
      <c r="E69" t="s">
        <v>27</v>
      </c>
      <c r="F69" t="s">
        <v>29</v>
      </c>
      <c r="G69" s="6" t="s">
        <v>479</v>
      </c>
      <c r="H69" s="6" t="s">
        <v>479</v>
      </c>
      <c r="I69" t="s">
        <v>227</v>
      </c>
      <c r="J69" t="s">
        <v>444</v>
      </c>
      <c r="K69" s="6" t="s">
        <v>479</v>
      </c>
      <c r="L69" s="6" t="s">
        <v>479</v>
      </c>
      <c r="M69" s="6" t="s">
        <v>479</v>
      </c>
      <c r="N69" s="6" t="s">
        <v>479</v>
      </c>
      <c r="O69" s="6" t="s">
        <v>479</v>
      </c>
    </row>
    <row r="70" spans="1:15" x14ac:dyDescent="0.25">
      <c r="A70" t="s">
        <v>232</v>
      </c>
      <c r="B70" t="s">
        <v>373</v>
      </c>
      <c r="C70" t="s">
        <v>28</v>
      </c>
      <c r="D70" t="s">
        <v>44</v>
      </c>
      <c r="E70" t="s">
        <v>27</v>
      </c>
      <c r="F70" t="s">
        <v>29</v>
      </c>
      <c r="G70" s="6" t="s">
        <v>479</v>
      </c>
      <c r="H70" s="6" t="s">
        <v>479</v>
      </c>
      <c r="I70" t="s">
        <v>230</v>
      </c>
      <c r="J70" t="s">
        <v>445</v>
      </c>
      <c r="K70" s="6" t="s">
        <v>479</v>
      </c>
      <c r="L70" s="6" t="s">
        <v>479</v>
      </c>
      <c r="M70" s="6" t="s">
        <v>479</v>
      </c>
      <c r="N70" s="6" t="s">
        <v>479</v>
      </c>
      <c r="O70" s="6" t="s">
        <v>479</v>
      </c>
    </row>
    <row r="71" spans="1:15" x14ac:dyDescent="0.25">
      <c r="A71" t="s">
        <v>235</v>
      </c>
      <c r="B71" t="s">
        <v>374</v>
      </c>
      <c r="C71" t="s">
        <v>28</v>
      </c>
      <c r="D71" t="s">
        <v>44</v>
      </c>
      <c r="E71" t="s">
        <v>27</v>
      </c>
      <c r="F71" t="s">
        <v>29</v>
      </c>
      <c r="G71" s="6" t="s">
        <v>479</v>
      </c>
      <c r="H71" s="6" t="s">
        <v>479</v>
      </c>
      <c r="I71" t="s">
        <v>233</v>
      </c>
      <c r="J71" t="s">
        <v>446</v>
      </c>
      <c r="K71" s="6" t="s">
        <v>479</v>
      </c>
      <c r="L71" s="6" t="s">
        <v>479</v>
      </c>
      <c r="M71" s="6" t="s">
        <v>479</v>
      </c>
      <c r="N71" s="6" t="s">
        <v>479</v>
      </c>
      <c r="O71" s="6" t="s">
        <v>479</v>
      </c>
    </row>
    <row r="72" spans="1:15" x14ac:dyDescent="0.25">
      <c r="A72" t="s">
        <v>238</v>
      </c>
      <c r="B72" t="s">
        <v>375</v>
      </c>
      <c r="C72" t="s">
        <v>28</v>
      </c>
      <c r="D72" t="s">
        <v>44</v>
      </c>
      <c r="E72" t="s">
        <v>27</v>
      </c>
      <c r="F72" t="s">
        <v>29</v>
      </c>
      <c r="G72" s="6" t="s">
        <v>479</v>
      </c>
      <c r="H72" s="6" t="s">
        <v>479</v>
      </c>
      <c r="I72" t="s">
        <v>236</v>
      </c>
      <c r="J72" t="s">
        <v>447</v>
      </c>
      <c r="K72" s="6" t="s">
        <v>479</v>
      </c>
      <c r="L72" s="6" t="s">
        <v>479</v>
      </c>
      <c r="M72" s="6" t="s">
        <v>479</v>
      </c>
      <c r="N72" s="6" t="s">
        <v>479</v>
      </c>
      <c r="O72" s="6" t="s">
        <v>479</v>
      </c>
    </row>
    <row r="73" spans="1:15" x14ac:dyDescent="0.25">
      <c r="A73" t="s">
        <v>241</v>
      </c>
      <c r="B73" t="s">
        <v>376</v>
      </c>
      <c r="C73" t="s">
        <v>28</v>
      </c>
      <c r="D73" t="s">
        <v>44</v>
      </c>
      <c r="E73" t="s">
        <v>27</v>
      </c>
      <c r="F73" t="s">
        <v>29</v>
      </c>
      <c r="G73" s="6" t="s">
        <v>479</v>
      </c>
      <c r="H73" s="6" t="s">
        <v>479</v>
      </c>
      <c r="I73" t="s">
        <v>239</v>
      </c>
      <c r="J73" t="s">
        <v>448</v>
      </c>
      <c r="K73" s="6" t="s">
        <v>479</v>
      </c>
      <c r="L73" s="6" t="s">
        <v>479</v>
      </c>
      <c r="M73" s="6" t="s">
        <v>479</v>
      </c>
      <c r="N73" s="6" t="s">
        <v>479</v>
      </c>
      <c r="O73" s="6" t="s">
        <v>479</v>
      </c>
    </row>
    <row r="74" spans="1:15" x14ac:dyDescent="0.25">
      <c r="A74" t="s">
        <v>244</v>
      </c>
      <c r="B74" t="s">
        <v>377</v>
      </c>
      <c r="C74" t="s">
        <v>28</v>
      </c>
      <c r="D74" t="s">
        <v>44</v>
      </c>
      <c r="E74" t="s">
        <v>27</v>
      </c>
      <c r="F74" t="s">
        <v>29</v>
      </c>
      <c r="G74" s="6" t="s">
        <v>479</v>
      </c>
      <c r="H74" s="6" t="s">
        <v>479</v>
      </c>
      <c r="I74" t="s">
        <v>242</v>
      </c>
      <c r="J74" t="s">
        <v>449</v>
      </c>
      <c r="K74" s="6" t="s">
        <v>479</v>
      </c>
      <c r="L74" s="6" t="s">
        <v>479</v>
      </c>
      <c r="M74" s="6" t="s">
        <v>479</v>
      </c>
      <c r="N74" s="6" t="s">
        <v>479</v>
      </c>
      <c r="O74" s="6" t="s">
        <v>479</v>
      </c>
    </row>
    <row r="75" spans="1:15" x14ac:dyDescent="0.25">
      <c r="A75" t="s">
        <v>247</v>
      </c>
      <c r="B75" t="s">
        <v>378</v>
      </c>
      <c r="C75" t="s">
        <v>28</v>
      </c>
      <c r="D75" t="s">
        <v>44</v>
      </c>
      <c r="E75" t="s">
        <v>27</v>
      </c>
      <c r="F75" t="s">
        <v>29</v>
      </c>
      <c r="G75" s="6" t="s">
        <v>479</v>
      </c>
      <c r="H75" s="6" t="s">
        <v>479</v>
      </c>
      <c r="I75" t="s">
        <v>245</v>
      </c>
      <c r="J75" t="s">
        <v>450</v>
      </c>
      <c r="K75" s="6" t="s">
        <v>479</v>
      </c>
      <c r="L75" s="6" t="s">
        <v>479</v>
      </c>
      <c r="M75" s="6" t="s">
        <v>479</v>
      </c>
      <c r="N75" s="6" t="s">
        <v>479</v>
      </c>
      <c r="O75" s="6" t="s">
        <v>479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U44"/>
  <sheetViews>
    <sheetView workbookViewId="0">
      <selection activeCell="G6" sqref="G6:G20"/>
    </sheetView>
  </sheetViews>
  <sheetFormatPr defaultRowHeight="15" x14ac:dyDescent="0.25"/>
  <sheetData>
    <row r="5" spans="2:21" x14ac:dyDescent="0.25">
      <c r="G5" s="6"/>
    </row>
    <row r="6" spans="2:21" x14ac:dyDescent="0.25">
      <c r="B6" t="s">
        <v>505</v>
      </c>
      <c r="C6" t="str">
        <f>LOWER(B6)</f>
        <v>partname</v>
      </c>
      <c r="E6" t="str">
        <f>C6</f>
        <v>partname</v>
      </c>
      <c r="G6" t="str">
        <f>CONCATENATE(E6,"= partnode.SelectSingleNode(""",B6,""").InnerText ;")</f>
        <v>partname= partnode.SelectSingleNode("PartName").InnerText ;</v>
      </c>
      <c r="M6" t="str">
        <f>CONCATENATE(B6,"Box.AppendText(",E6,");")</f>
        <v>PartNameBox.AppendText(partname);</v>
      </c>
      <c r="Q6" t="s">
        <v>481</v>
      </c>
      <c r="U6" t="str">
        <f>CONCATENATE("string ",E6," = """""," ;")</f>
        <v>string partname = "" ;</v>
      </c>
    </row>
    <row r="7" spans="2:21" x14ac:dyDescent="0.25">
      <c r="B7" t="s">
        <v>506</v>
      </c>
      <c r="C7" t="str">
        <f t="shared" ref="C7:C44" si="0">LOWER(B7)</f>
        <v>partcode</v>
      </c>
      <c r="E7" t="str">
        <f t="shared" ref="E7:E44" si="1">C7</f>
        <v>partcode</v>
      </c>
      <c r="G7" t="str">
        <f t="shared" ref="G7:G20" si="2">CONCATENATE(E7,"= partnode.SelectSingleNode(""",B7,""").InnerText ;")</f>
        <v>partcode= partnode.SelectSingleNode("PartCode").InnerText ;</v>
      </c>
      <c r="M7" t="str">
        <f t="shared" ref="M7:M44" si="3">CONCATENATE(B7,"Box.AppendText(",E7,");")</f>
        <v>PartCodeBox.AppendText(partcode);</v>
      </c>
      <c r="Q7" t="s">
        <v>481</v>
      </c>
      <c r="U7" t="str">
        <f t="shared" ref="U7:U20" si="4">CONCATENATE("string ",E7," = """""," ;")</f>
        <v>string partcode = "" ;</v>
      </c>
    </row>
    <row r="8" spans="2:21" x14ac:dyDescent="0.25">
      <c r="B8" t="s">
        <v>580</v>
      </c>
      <c r="C8" t="str">
        <f t="shared" si="0"/>
        <v>partactive</v>
      </c>
      <c r="E8" t="str">
        <f t="shared" si="1"/>
        <v>partactive</v>
      </c>
      <c r="G8" t="str">
        <f t="shared" si="2"/>
        <v>partactive= partnode.SelectSingleNode("PartActive").InnerText ;</v>
      </c>
      <c r="M8" t="str">
        <f t="shared" si="3"/>
        <v>PartActiveBox.AppendText(partactive);</v>
      </c>
      <c r="Q8" t="s">
        <v>481</v>
      </c>
      <c r="U8" t="str">
        <f t="shared" si="4"/>
        <v>string partactive = "" ;</v>
      </c>
    </row>
    <row r="9" spans="2:21" x14ac:dyDescent="0.25">
      <c r="B9" t="s">
        <v>508</v>
      </c>
      <c r="C9" t="str">
        <f t="shared" si="0"/>
        <v>partrev</v>
      </c>
      <c r="E9" t="str">
        <f t="shared" si="1"/>
        <v>partrev</v>
      </c>
      <c r="G9" t="str">
        <f t="shared" si="2"/>
        <v>partrev= partnode.SelectSingleNode("PartRev").InnerText ;</v>
      </c>
      <c r="M9" t="str">
        <f t="shared" si="3"/>
        <v>PartRevBox.AppendText(partrev);</v>
      </c>
      <c r="Q9" t="s">
        <v>481</v>
      </c>
      <c r="U9" t="str">
        <f t="shared" si="4"/>
        <v>string partrev = "" ;</v>
      </c>
    </row>
    <row r="10" spans="2:21" x14ac:dyDescent="0.25">
      <c r="B10" t="s">
        <v>509</v>
      </c>
      <c r="C10" t="str">
        <f t="shared" si="0"/>
        <v>partdate</v>
      </c>
      <c r="E10" t="str">
        <f t="shared" si="1"/>
        <v>partdate</v>
      </c>
      <c r="G10" t="str">
        <f t="shared" si="2"/>
        <v>partdate= partnode.SelectSingleNode("PartDate").InnerText ;</v>
      </c>
      <c r="M10" t="str">
        <f t="shared" si="3"/>
        <v>PartDateBox.AppendText(partdate);</v>
      </c>
      <c r="Q10" t="s">
        <v>481</v>
      </c>
      <c r="U10" t="str">
        <f t="shared" si="4"/>
        <v>string partdate = "" ;</v>
      </c>
    </row>
    <row r="11" spans="2:21" x14ac:dyDescent="0.25">
      <c r="B11" t="s">
        <v>510</v>
      </c>
      <c r="C11" t="str">
        <f t="shared" si="0"/>
        <v>partdesigner</v>
      </c>
      <c r="E11" t="str">
        <f t="shared" si="1"/>
        <v>partdesigner</v>
      </c>
      <c r="G11" t="str">
        <f t="shared" si="2"/>
        <v>partdesigner= partnode.SelectSingleNode("PartDesigner").InnerText ;</v>
      </c>
      <c r="M11" t="str">
        <f t="shared" si="3"/>
        <v>PartDesignerBox.AppendText(partdesigner);</v>
      </c>
      <c r="Q11" t="s">
        <v>481</v>
      </c>
      <c r="U11" t="str">
        <f t="shared" si="4"/>
        <v>string partdesigner = "" ;</v>
      </c>
    </row>
    <row r="12" spans="2:21" x14ac:dyDescent="0.25">
      <c r="B12" t="s">
        <v>511</v>
      </c>
      <c r="C12" t="str">
        <f t="shared" si="0"/>
        <v>partthree_d</v>
      </c>
      <c r="E12" t="str">
        <f t="shared" si="1"/>
        <v>partthree_d</v>
      </c>
      <c r="G12" t="str">
        <f t="shared" si="2"/>
        <v>partthree_d= partnode.SelectSingleNode("PartTHREE_D").InnerText ;</v>
      </c>
      <c r="M12" t="str">
        <f t="shared" si="3"/>
        <v>PartTHREE_DBox.AppendText(partthree_d);</v>
      </c>
      <c r="Q12" t="s">
        <v>481</v>
      </c>
      <c r="U12" t="str">
        <f t="shared" si="4"/>
        <v>string partthree_d = "" ;</v>
      </c>
    </row>
    <row r="13" spans="2:21" x14ac:dyDescent="0.25">
      <c r="B13" t="s">
        <v>512</v>
      </c>
      <c r="C13" t="str">
        <f t="shared" si="0"/>
        <v>partstep</v>
      </c>
      <c r="E13" t="str">
        <f t="shared" si="1"/>
        <v>partstep</v>
      </c>
      <c r="G13" t="str">
        <f t="shared" si="2"/>
        <v>partstep= partnode.SelectSingleNode("PartStep").InnerText ;</v>
      </c>
      <c r="M13" t="str">
        <f t="shared" si="3"/>
        <v>PartStepBox.AppendText(partstep);</v>
      </c>
      <c r="Q13" t="s">
        <v>481</v>
      </c>
      <c r="U13" t="str">
        <f t="shared" si="4"/>
        <v>string partstep = "" ;</v>
      </c>
    </row>
    <row r="14" spans="2:21" x14ac:dyDescent="0.25">
      <c r="B14" t="s">
        <v>513</v>
      </c>
      <c r="C14" t="str">
        <f t="shared" si="0"/>
        <v>parttwo_d</v>
      </c>
      <c r="E14" t="str">
        <f t="shared" si="1"/>
        <v>parttwo_d</v>
      </c>
      <c r="G14" t="str">
        <f t="shared" si="2"/>
        <v>parttwo_d= partnode.SelectSingleNode("PartTWO_D").InnerText ;</v>
      </c>
      <c r="M14" t="str">
        <f t="shared" si="3"/>
        <v>PartTWO_DBox.AppendText(parttwo_d);</v>
      </c>
      <c r="Q14" t="s">
        <v>481</v>
      </c>
      <c r="U14" t="str">
        <f t="shared" si="4"/>
        <v>string parttwo_d = "" ;</v>
      </c>
    </row>
    <row r="15" spans="2:21" x14ac:dyDescent="0.25">
      <c r="B15" t="s">
        <v>514</v>
      </c>
      <c r="C15" t="str">
        <f t="shared" si="0"/>
        <v>partpdf</v>
      </c>
      <c r="E15" t="str">
        <f t="shared" si="1"/>
        <v>partpdf</v>
      </c>
      <c r="G15" t="str">
        <f t="shared" si="2"/>
        <v>partpdf= partnode.SelectSingleNode("PartPdf").InnerText ;</v>
      </c>
      <c r="M15" t="str">
        <f t="shared" si="3"/>
        <v>PartPdfBox.AppendText(partpdf);</v>
      </c>
      <c r="Q15" t="s">
        <v>481</v>
      </c>
      <c r="U15" t="str">
        <f t="shared" si="4"/>
        <v>string partpdf = "" ;</v>
      </c>
    </row>
    <row r="16" spans="2:21" x14ac:dyDescent="0.25">
      <c r="B16" t="s">
        <v>515</v>
      </c>
      <c r="C16" t="str">
        <f t="shared" si="0"/>
        <v>partweight</v>
      </c>
      <c r="E16" t="str">
        <f t="shared" si="1"/>
        <v>partweight</v>
      </c>
      <c r="G16" t="str">
        <f t="shared" si="2"/>
        <v>partweight= partnode.SelectSingleNode("PartWeight").InnerText ;</v>
      </c>
      <c r="M16" t="str">
        <f t="shared" si="3"/>
        <v>PartWeightBox.AppendText(partweight);</v>
      </c>
      <c r="Q16" t="s">
        <v>481</v>
      </c>
      <c r="U16" t="str">
        <f t="shared" si="4"/>
        <v>string partweight = "" ;</v>
      </c>
    </row>
    <row r="17" spans="2:21" x14ac:dyDescent="0.25">
      <c r="B17" t="s">
        <v>516</v>
      </c>
      <c r="C17" t="str">
        <f t="shared" si="0"/>
        <v>partmaterial</v>
      </c>
      <c r="E17" t="str">
        <f t="shared" si="1"/>
        <v>partmaterial</v>
      </c>
      <c r="G17" t="str">
        <f t="shared" si="2"/>
        <v>partmaterial= partnode.SelectSingleNode("PartMaterial").InnerText ;</v>
      </c>
      <c r="M17" t="str">
        <f t="shared" si="3"/>
        <v>PartMaterialBox.AppendText(partmaterial);</v>
      </c>
      <c r="Q17" t="s">
        <v>481</v>
      </c>
      <c r="U17" t="str">
        <f t="shared" si="4"/>
        <v>string partmaterial = "" ;</v>
      </c>
    </row>
    <row r="18" spans="2:21" x14ac:dyDescent="0.25">
      <c r="B18" t="s">
        <v>517</v>
      </c>
      <c r="C18" t="str">
        <f t="shared" si="0"/>
        <v>parttthreat</v>
      </c>
      <c r="E18" t="str">
        <f t="shared" si="1"/>
        <v>parttthreat</v>
      </c>
      <c r="G18" t="str">
        <f t="shared" si="2"/>
        <v>parttthreat= partnode.SelectSingleNode("PartTThreat").InnerText ;</v>
      </c>
      <c r="M18" t="str">
        <f t="shared" si="3"/>
        <v>PartTThreatBox.AppendText(parttthreat);</v>
      </c>
      <c r="Q18" t="s">
        <v>481</v>
      </c>
      <c r="U18" t="str">
        <f t="shared" si="4"/>
        <v>string parttthreat = "" ;</v>
      </c>
    </row>
    <row r="19" spans="2:21" x14ac:dyDescent="0.25">
      <c r="B19" t="s">
        <v>518</v>
      </c>
      <c r="C19" t="str">
        <f t="shared" si="0"/>
        <v>partcoat</v>
      </c>
      <c r="E19" t="str">
        <f t="shared" si="1"/>
        <v>partcoat</v>
      </c>
      <c r="G19" t="str">
        <f t="shared" si="2"/>
        <v>partcoat= partnode.SelectSingleNode("PartCoat").InnerText ;</v>
      </c>
      <c r="M19" t="str">
        <f t="shared" si="3"/>
        <v>PartCoatBox.AppendText(partcoat);</v>
      </c>
      <c r="Q19" t="s">
        <v>481</v>
      </c>
      <c r="U19" t="str">
        <f t="shared" si="4"/>
        <v>string partcoat = "" ;</v>
      </c>
    </row>
    <row r="20" spans="2:21" x14ac:dyDescent="0.25">
      <c r="B20" t="s">
        <v>519</v>
      </c>
      <c r="C20" t="str">
        <f t="shared" si="0"/>
        <v>partsupplyer</v>
      </c>
      <c r="E20" t="str">
        <f t="shared" si="1"/>
        <v>partsupplyer</v>
      </c>
      <c r="G20" t="str">
        <f t="shared" si="2"/>
        <v>partsupplyer= partnode.SelectSingleNode("PartSupplyer").InnerText ;</v>
      </c>
      <c r="M20" t="str">
        <f t="shared" si="3"/>
        <v>PartSupplyerBox.AppendText(partsupplyer);</v>
      </c>
      <c r="Q20" t="s">
        <v>481</v>
      </c>
      <c r="U20" t="str">
        <f t="shared" si="4"/>
        <v>string partsupplyer = "" ;</v>
      </c>
    </row>
    <row r="21" spans="2:21" x14ac:dyDescent="0.25">
      <c r="C21" t="str">
        <f t="shared" si="0"/>
        <v/>
      </c>
    </row>
    <row r="22" spans="2:21" x14ac:dyDescent="0.25">
      <c r="B22" t="s">
        <v>488</v>
      </c>
      <c r="C22" t="str">
        <f t="shared" si="0"/>
        <v>productname</v>
      </c>
      <c r="E22" t="str">
        <f t="shared" si="1"/>
        <v>productname</v>
      </c>
      <c r="G22" t="str">
        <f t="shared" ref="G22:G44" si="5">CONCATENATE(E22,"= node.SelectSingleNode(""",B22,""").InnerText ;")</f>
        <v>productname= node.SelectSingleNode("ProductName").InnerText ;</v>
      </c>
      <c r="M22" t="str">
        <f t="shared" si="3"/>
        <v>ProductNameBox.AppendText(productname);</v>
      </c>
      <c r="Q22" t="s">
        <v>481</v>
      </c>
      <c r="U22" t="str">
        <f t="shared" ref="U22:U31" si="6">CONCATENATE("string ",E22," = """""," ;")</f>
        <v>string productname = "" ;</v>
      </c>
    </row>
    <row r="23" spans="2:21" x14ac:dyDescent="0.25">
      <c r="B23" t="s">
        <v>541</v>
      </c>
      <c r="C23" t="str">
        <f t="shared" si="0"/>
        <v>productcar</v>
      </c>
      <c r="E23" t="str">
        <f t="shared" si="1"/>
        <v>productcar</v>
      </c>
      <c r="G23" t="str">
        <f t="shared" si="5"/>
        <v>productcar= node.SelectSingleNode("ProductCar").InnerText ;</v>
      </c>
      <c r="M23" t="str">
        <f t="shared" si="3"/>
        <v>ProductCarBox.AppendText(productcar);</v>
      </c>
      <c r="Q23" t="s">
        <v>481</v>
      </c>
      <c r="U23" t="str">
        <f t="shared" si="6"/>
        <v>string productcar = "" ;</v>
      </c>
    </row>
    <row r="24" spans="2:21" x14ac:dyDescent="0.25">
      <c r="B24" t="s">
        <v>487</v>
      </c>
      <c r="C24" t="str">
        <f t="shared" si="0"/>
        <v>productcode</v>
      </c>
      <c r="E24" t="str">
        <f t="shared" si="1"/>
        <v>productcode</v>
      </c>
      <c r="G24" t="str">
        <f t="shared" si="5"/>
        <v>productcode= node.SelectSingleNode("ProductCode").InnerText ;</v>
      </c>
      <c r="M24" t="str">
        <f t="shared" si="3"/>
        <v>ProductCodeBox.AppendText(productcode);</v>
      </c>
      <c r="Q24" t="s">
        <v>481</v>
      </c>
      <c r="U24" t="str">
        <f t="shared" si="6"/>
        <v>string productcode = "" ;</v>
      </c>
    </row>
    <row r="25" spans="2:21" x14ac:dyDescent="0.25">
      <c r="B25" t="s">
        <v>504</v>
      </c>
      <c r="C25" t="str">
        <f t="shared" si="0"/>
        <v>productstatus</v>
      </c>
      <c r="E25" t="str">
        <f t="shared" si="1"/>
        <v>productstatus</v>
      </c>
      <c r="G25" t="str">
        <f t="shared" si="5"/>
        <v>productstatus= node.SelectSingleNode("ProductStatus").InnerText ;</v>
      </c>
      <c r="M25" t="str">
        <f t="shared" si="3"/>
        <v>ProductStatusBox.AppendText(productstatus);</v>
      </c>
      <c r="Q25" t="s">
        <v>481</v>
      </c>
      <c r="U25" t="str">
        <f t="shared" si="6"/>
        <v>string productstatus = "" ;</v>
      </c>
    </row>
    <row r="26" spans="2:21" x14ac:dyDescent="0.25">
      <c r="B26" t="s">
        <v>484</v>
      </c>
      <c r="C26" t="str">
        <f t="shared" si="0"/>
        <v>projectcode</v>
      </c>
      <c r="E26" t="str">
        <f t="shared" si="1"/>
        <v>projectcode</v>
      </c>
      <c r="G26" t="str">
        <f t="shared" si="5"/>
        <v>projectcode= node.SelectSingleNode("ProjectCode").InnerText ;</v>
      </c>
      <c r="M26" t="str">
        <f t="shared" si="3"/>
        <v>ProjectCodeBox.AppendText(projectcode);</v>
      </c>
      <c r="Q26" t="s">
        <v>481</v>
      </c>
      <c r="U26" t="str">
        <f t="shared" si="6"/>
        <v>string projectcode = "" ;</v>
      </c>
    </row>
    <row r="27" spans="2:21" x14ac:dyDescent="0.25">
      <c r="B27" t="s">
        <v>542</v>
      </c>
      <c r="C27" t="str">
        <f t="shared" si="0"/>
        <v>product2dname</v>
      </c>
      <c r="E27" t="str">
        <f t="shared" si="1"/>
        <v>product2dname</v>
      </c>
      <c r="G27" t="str">
        <f t="shared" si="5"/>
        <v>product2dname= node.SelectSingleNode("Product2DName").InnerText ;</v>
      </c>
      <c r="M27" t="str">
        <f t="shared" si="3"/>
        <v>Product2DNameBox.AppendText(product2dname);</v>
      </c>
      <c r="Q27" t="s">
        <v>481</v>
      </c>
      <c r="U27" t="str">
        <f t="shared" si="6"/>
        <v>string product2dname = "" ;</v>
      </c>
    </row>
    <row r="28" spans="2:21" x14ac:dyDescent="0.25">
      <c r="B28" t="s">
        <v>543</v>
      </c>
      <c r="C28" t="str">
        <f t="shared" si="0"/>
        <v>product2dfilename</v>
      </c>
      <c r="E28" t="str">
        <f t="shared" si="1"/>
        <v>product2dfilename</v>
      </c>
      <c r="G28" t="str">
        <f t="shared" si="5"/>
        <v>product2dfilename= node.SelectSingleNode("Product2DFilename").InnerText ;</v>
      </c>
      <c r="M28" t="str">
        <f t="shared" si="3"/>
        <v>Product2DFilenameBox.AppendText(product2dfilename);</v>
      </c>
      <c r="Q28" t="s">
        <v>481</v>
      </c>
      <c r="U28" t="str">
        <f t="shared" si="6"/>
        <v>string product2dfilename = "" ;</v>
      </c>
    </row>
    <row r="29" spans="2:21" x14ac:dyDescent="0.25">
      <c r="B29" t="s">
        <v>544</v>
      </c>
      <c r="C29" t="str">
        <f t="shared" si="0"/>
        <v>product2drev</v>
      </c>
      <c r="E29" t="str">
        <f t="shared" si="1"/>
        <v>product2drev</v>
      </c>
      <c r="G29" t="str">
        <f t="shared" si="5"/>
        <v>product2drev= node.SelectSingleNode("Product2DREV").InnerText ;</v>
      </c>
      <c r="M29" t="str">
        <f t="shared" si="3"/>
        <v>Product2DREVBox.AppendText(product2drev);</v>
      </c>
      <c r="Q29" t="s">
        <v>481</v>
      </c>
      <c r="U29" t="str">
        <f t="shared" si="6"/>
        <v>string product2drev = "" ;</v>
      </c>
    </row>
    <row r="30" spans="2:21" x14ac:dyDescent="0.25">
      <c r="B30" t="s">
        <v>545</v>
      </c>
      <c r="C30" t="str">
        <f t="shared" si="0"/>
        <v>product2ddate</v>
      </c>
      <c r="E30" t="str">
        <f t="shared" si="1"/>
        <v>product2ddate</v>
      </c>
      <c r="G30" t="str">
        <f t="shared" si="5"/>
        <v>product2ddate= node.SelectSingleNode("Product2DDate").InnerText ;</v>
      </c>
      <c r="M30" t="str">
        <f t="shared" si="3"/>
        <v>Product2DDateBox.AppendText(product2ddate);</v>
      </c>
      <c r="Q30" t="s">
        <v>481</v>
      </c>
      <c r="U30" t="str">
        <f t="shared" si="6"/>
        <v>string product2ddate = "" ;</v>
      </c>
    </row>
    <row r="31" spans="2:21" x14ac:dyDescent="0.25">
      <c r="B31" t="s">
        <v>546</v>
      </c>
      <c r="C31" t="str">
        <f t="shared" si="0"/>
        <v>product2d</v>
      </c>
      <c r="E31" t="str">
        <f t="shared" si="1"/>
        <v>product2d</v>
      </c>
      <c r="G31" t="str">
        <f t="shared" si="5"/>
        <v>product2d= node.SelectSingleNode("Product2D").InnerText ;</v>
      </c>
      <c r="M31" t="str">
        <f t="shared" si="3"/>
        <v>Product2DBox.AppendText(product2d);</v>
      </c>
      <c r="Q31" t="s">
        <v>481</v>
      </c>
      <c r="U31" t="str">
        <f t="shared" si="6"/>
        <v>string product2d = "" ;</v>
      </c>
    </row>
    <row r="32" spans="2:21" x14ac:dyDescent="0.25">
      <c r="C32" t="str">
        <f t="shared" si="0"/>
        <v/>
      </c>
      <c r="E32" t="str">
        <f t="shared" si="1"/>
        <v/>
      </c>
    </row>
    <row r="33" spans="2:21" x14ac:dyDescent="0.25">
      <c r="B33" t="s">
        <v>483</v>
      </c>
      <c r="C33" t="str">
        <f t="shared" si="0"/>
        <v>projectname</v>
      </c>
      <c r="E33" t="str">
        <f t="shared" si="1"/>
        <v>projectname</v>
      </c>
      <c r="G33" t="str">
        <f t="shared" si="5"/>
        <v>projectname= node.SelectSingleNode("ProjectName").InnerText ;</v>
      </c>
      <c r="M33" t="str">
        <f t="shared" si="3"/>
        <v>ProjectNameBox.AppendText(projectname);</v>
      </c>
      <c r="Q33" t="s">
        <v>481</v>
      </c>
      <c r="U33" t="str">
        <f t="shared" ref="U33:U40" si="7">CONCATENATE("string ",E33," = """""," ;")</f>
        <v>string projectname = "" ;</v>
      </c>
    </row>
    <row r="34" spans="2:21" x14ac:dyDescent="0.25">
      <c r="B34" t="s">
        <v>484</v>
      </c>
      <c r="C34" t="str">
        <f t="shared" si="0"/>
        <v>projectcode</v>
      </c>
      <c r="E34" t="str">
        <f t="shared" si="1"/>
        <v>projectcode</v>
      </c>
      <c r="G34" t="str">
        <f t="shared" si="5"/>
        <v>projectcode= node.SelectSingleNode("ProjectCode").InnerText ;</v>
      </c>
      <c r="M34" t="str">
        <f t="shared" si="3"/>
        <v>ProjectCodeBox.AppendText(projectcode);</v>
      </c>
      <c r="Q34" t="s">
        <v>481</v>
      </c>
      <c r="U34" t="str">
        <f t="shared" si="7"/>
        <v>string projectcode = "" ;</v>
      </c>
    </row>
    <row r="35" spans="2:21" x14ac:dyDescent="0.25">
      <c r="B35" t="s">
        <v>540</v>
      </c>
      <c r="C35" t="str">
        <f t="shared" si="0"/>
        <v>projectid</v>
      </c>
      <c r="E35" t="str">
        <f t="shared" si="1"/>
        <v>projectid</v>
      </c>
      <c r="G35" t="str">
        <f t="shared" si="5"/>
        <v>projectid= node.SelectSingleNode("ProjectID").InnerText ;</v>
      </c>
      <c r="M35" t="str">
        <f t="shared" si="3"/>
        <v>ProjectIDBox.AppendText(projectid);</v>
      </c>
      <c r="Q35" t="s">
        <v>481</v>
      </c>
      <c r="U35" t="str">
        <f t="shared" si="7"/>
        <v>string projectid = "" ;</v>
      </c>
    </row>
    <row r="36" spans="2:21" x14ac:dyDescent="0.25">
      <c r="B36" t="s">
        <v>539</v>
      </c>
      <c r="C36" t="str">
        <f t="shared" si="0"/>
        <v>familyid</v>
      </c>
      <c r="E36" t="str">
        <f t="shared" si="1"/>
        <v>familyid</v>
      </c>
      <c r="G36" t="str">
        <f t="shared" si="5"/>
        <v>familyid= node.SelectSingleNode("FamilyID").InnerText ;</v>
      </c>
      <c r="M36" t="str">
        <f t="shared" si="3"/>
        <v>FamilyIDBox.AppendText(familyid);</v>
      </c>
      <c r="Q36" t="s">
        <v>481</v>
      </c>
      <c r="U36" t="str">
        <f t="shared" si="7"/>
        <v>string familyid = "" ;</v>
      </c>
    </row>
    <row r="37" spans="2:21" x14ac:dyDescent="0.25">
      <c r="B37" t="s">
        <v>502</v>
      </c>
      <c r="C37" t="str">
        <f t="shared" si="0"/>
        <v>customername</v>
      </c>
      <c r="E37" t="str">
        <f t="shared" si="1"/>
        <v>customername</v>
      </c>
      <c r="G37" t="str">
        <f t="shared" si="5"/>
        <v>customername= node.SelectSingleNode("CustomerName").InnerText ;</v>
      </c>
      <c r="M37" t="str">
        <f t="shared" si="3"/>
        <v>CustomerNameBox.AppendText(customername);</v>
      </c>
      <c r="Q37" t="s">
        <v>481</v>
      </c>
      <c r="U37" t="str">
        <f t="shared" si="7"/>
        <v>string customername = "" ;</v>
      </c>
    </row>
    <row r="38" spans="2:21" x14ac:dyDescent="0.25">
      <c r="B38" t="s">
        <v>485</v>
      </c>
      <c r="C38" t="str">
        <f t="shared" si="0"/>
        <v>customercode</v>
      </c>
      <c r="E38" t="str">
        <f t="shared" si="1"/>
        <v>customercode</v>
      </c>
      <c r="G38" t="str">
        <f t="shared" si="5"/>
        <v>customercode= node.SelectSingleNode("CustomerCode").InnerText ;</v>
      </c>
      <c r="M38" t="str">
        <f t="shared" si="3"/>
        <v>CustomerCodeBox.AppendText(customercode);</v>
      </c>
      <c r="Q38" t="s">
        <v>481</v>
      </c>
      <c r="U38" t="str">
        <f t="shared" si="7"/>
        <v>string customercode = "" ;</v>
      </c>
    </row>
    <row r="39" spans="2:21" x14ac:dyDescent="0.25">
      <c r="B39" t="s">
        <v>503</v>
      </c>
      <c r="C39" t="str">
        <f t="shared" si="0"/>
        <v>projectstatus</v>
      </c>
      <c r="E39" t="str">
        <f t="shared" si="1"/>
        <v>projectstatus</v>
      </c>
      <c r="G39" t="str">
        <f t="shared" si="5"/>
        <v>projectstatus= node.SelectSingleNode("ProjectStatus").InnerText ;</v>
      </c>
      <c r="M39" t="str">
        <f t="shared" si="3"/>
        <v>ProjectStatusBox.AppendText(projectstatus);</v>
      </c>
      <c r="Q39" t="s">
        <v>481</v>
      </c>
      <c r="U39" t="str">
        <f t="shared" si="7"/>
        <v>string projectstatus = "" ;</v>
      </c>
    </row>
    <row r="40" spans="2:21" x14ac:dyDescent="0.25">
      <c r="B40" t="s">
        <v>486</v>
      </c>
      <c r="C40" t="str">
        <f t="shared" si="0"/>
        <v>projectmanager</v>
      </c>
      <c r="E40" t="str">
        <f t="shared" si="1"/>
        <v>projectmanager</v>
      </c>
      <c r="G40" t="str">
        <f t="shared" si="5"/>
        <v>projectmanager= node.SelectSingleNode("ProjectManager").InnerText ;</v>
      </c>
      <c r="M40" t="str">
        <f t="shared" si="3"/>
        <v>ProjectManagerBox.AppendText(projectmanager);</v>
      </c>
      <c r="Q40" t="s">
        <v>481</v>
      </c>
      <c r="U40" t="str">
        <f t="shared" si="7"/>
        <v>string projectmanager = "" ;</v>
      </c>
    </row>
    <row r="41" spans="2:21" x14ac:dyDescent="0.25">
      <c r="C41" t="str">
        <f t="shared" si="0"/>
        <v/>
      </c>
      <c r="E41" t="str">
        <f t="shared" si="1"/>
        <v/>
      </c>
    </row>
    <row r="42" spans="2:21" x14ac:dyDescent="0.25">
      <c r="B42" t="s">
        <v>482</v>
      </c>
      <c r="C42" t="str">
        <f t="shared" si="0"/>
        <v>familyname</v>
      </c>
      <c r="E42" t="str">
        <f t="shared" si="1"/>
        <v>familyname</v>
      </c>
      <c r="G42" t="str">
        <f t="shared" si="5"/>
        <v>familyname= node.SelectSingleNode("FamilyName").InnerText ;</v>
      </c>
      <c r="M42" t="str">
        <f t="shared" si="3"/>
        <v>FamilyNameBox.AppendText(familyname);</v>
      </c>
      <c r="Q42" t="s">
        <v>481</v>
      </c>
      <c r="U42" t="str">
        <f t="shared" ref="U42:U44" si="8">CONCATENATE("string ",E42," = """""," ;")</f>
        <v>string familyname = "" ;</v>
      </c>
    </row>
    <row r="43" spans="2:21" x14ac:dyDescent="0.25">
      <c r="B43" t="s">
        <v>539</v>
      </c>
      <c r="C43" t="str">
        <f t="shared" si="0"/>
        <v>familyid</v>
      </c>
      <c r="E43" t="str">
        <f t="shared" si="1"/>
        <v>familyid</v>
      </c>
      <c r="G43" t="str">
        <f t="shared" si="5"/>
        <v>familyid= node.SelectSingleNode("FamilyID").InnerText ;</v>
      </c>
      <c r="M43" t="str">
        <f t="shared" si="3"/>
        <v>FamilyIDBox.AppendText(familyid);</v>
      </c>
      <c r="Q43" t="s">
        <v>481</v>
      </c>
      <c r="U43" t="str">
        <f t="shared" si="8"/>
        <v>string familyid = "" ;</v>
      </c>
    </row>
    <row r="44" spans="2:21" x14ac:dyDescent="0.25">
      <c r="B44" t="s">
        <v>501</v>
      </c>
      <c r="C44" t="str">
        <f t="shared" si="0"/>
        <v>familystatus</v>
      </c>
      <c r="E44" t="str">
        <f t="shared" si="1"/>
        <v>familystatus</v>
      </c>
      <c r="G44" t="str">
        <f t="shared" si="5"/>
        <v>familystatus= node.SelectSingleNode("FamilyStatus").InnerText ;</v>
      </c>
      <c r="M44" t="str">
        <f t="shared" si="3"/>
        <v>FamilyStatusBox.AppendText(familystatus);</v>
      </c>
      <c r="Q44" t="s">
        <v>481</v>
      </c>
      <c r="U44" t="str">
        <f t="shared" si="8"/>
        <v>string familystatus = "" ;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/>
  </sheetViews>
  <sheetFormatPr defaultRowHeight="15" x14ac:dyDescent="0.25"/>
  <cols>
    <col min="1" max="1" width="14.42578125" bestFit="1" customWidth="1"/>
    <col min="2" max="2" width="11" bestFit="1" customWidth="1"/>
    <col min="3" max="3" width="14.5703125" bestFit="1" customWidth="1"/>
  </cols>
  <sheetData>
    <row r="1" spans="1:3" x14ac:dyDescent="0.25">
      <c r="A1" t="s">
        <v>482</v>
      </c>
      <c r="B1" t="s">
        <v>539</v>
      </c>
      <c r="C1" t="s">
        <v>501</v>
      </c>
    </row>
    <row r="2" spans="1:3" x14ac:dyDescent="0.25">
      <c r="A2" s="1" t="s">
        <v>489</v>
      </c>
      <c r="B2" s="1" t="s">
        <v>698</v>
      </c>
      <c r="C2" s="1" t="s">
        <v>28</v>
      </c>
    </row>
    <row r="3" spans="1:3" x14ac:dyDescent="0.25">
      <c r="A3" s="1" t="s">
        <v>490</v>
      </c>
      <c r="B3" s="1" t="s">
        <v>699</v>
      </c>
      <c r="C3" s="1" t="s">
        <v>28</v>
      </c>
    </row>
    <row r="4" spans="1:3" x14ac:dyDescent="0.25">
      <c r="A4" s="1" t="s">
        <v>520</v>
      </c>
      <c r="B4" s="1" t="s">
        <v>700</v>
      </c>
      <c r="C4" s="1" t="s">
        <v>28</v>
      </c>
    </row>
    <row r="5" spans="1:3" x14ac:dyDescent="0.25">
      <c r="A5" s="1" t="s">
        <v>521</v>
      </c>
      <c r="B5" s="1" t="s">
        <v>701</v>
      </c>
      <c r="C5" s="1" t="s">
        <v>28</v>
      </c>
    </row>
    <row r="6" spans="1:3" x14ac:dyDescent="0.25">
      <c r="A6" s="1" t="s">
        <v>522</v>
      </c>
      <c r="B6" s="1" t="s">
        <v>702</v>
      </c>
      <c r="C6" s="1" t="s">
        <v>28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/>
  </sheetViews>
  <sheetFormatPr defaultRowHeight="15" x14ac:dyDescent="0.25"/>
  <cols>
    <col min="1" max="1" width="14.85546875" bestFit="1" customWidth="1"/>
    <col min="2" max="2" width="14.140625" bestFit="1" customWidth="1"/>
    <col min="3" max="3" width="11.42578125" customWidth="1"/>
    <col min="4" max="4" width="11" bestFit="1" customWidth="1"/>
    <col min="5" max="5" width="17.28515625" bestFit="1" customWidth="1"/>
    <col min="6" max="6" width="16.5703125" bestFit="1" customWidth="1"/>
    <col min="7" max="7" width="16" bestFit="1" customWidth="1"/>
    <col min="8" max="8" width="17.5703125" bestFit="1" customWidth="1"/>
  </cols>
  <sheetData>
    <row r="1" spans="1:8" x14ac:dyDescent="0.25">
      <c r="A1" t="s">
        <v>483</v>
      </c>
      <c r="B1" t="s">
        <v>484</v>
      </c>
      <c r="C1" t="s">
        <v>540</v>
      </c>
      <c r="D1" t="s">
        <v>539</v>
      </c>
      <c r="E1" t="s">
        <v>502</v>
      </c>
      <c r="F1" t="s">
        <v>485</v>
      </c>
      <c r="G1" t="s">
        <v>503</v>
      </c>
      <c r="H1" t="s">
        <v>486</v>
      </c>
    </row>
    <row r="2" spans="1:8" x14ac:dyDescent="0.25">
      <c r="A2" s="1" t="s">
        <v>491</v>
      </c>
      <c r="B2" s="1" t="s">
        <v>551</v>
      </c>
      <c r="C2" s="1" t="s">
        <v>596</v>
      </c>
      <c r="D2" s="1" t="s">
        <v>698</v>
      </c>
      <c r="E2" s="1" t="s">
        <v>493</v>
      </c>
      <c r="F2" s="1" t="s">
        <v>495</v>
      </c>
      <c r="G2" s="1" t="s">
        <v>28</v>
      </c>
      <c r="H2" s="1" t="s">
        <v>29</v>
      </c>
    </row>
    <row r="3" spans="1:8" x14ac:dyDescent="0.25">
      <c r="A3" s="1" t="s">
        <v>492</v>
      </c>
      <c r="B3" s="1" t="s">
        <v>552</v>
      </c>
      <c r="C3" s="1" t="s">
        <v>597</v>
      </c>
      <c r="D3" s="1" t="s">
        <v>698</v>
      </c>
      <c r="E3" s="1" t="s">
        <v>494</v>
      </c>
      <c r="F3" s="1" t="s">
        <v>496</v>
      </c>
      <c r="G3" s="1" t="s">
        <v>498</v>
      </c>
      <c r="H3" s="1" t="s">
        <v>499</v>
      </c>
    </row>
    <row r="4" spans="1:8" x14ac:dyDescent="0.25">
      <c r="A4" s="1" t="s">
        <v>523</v>
      </c>
      <c r="B4" s="1" t="s">
        <v>553</v>
      </c>
      <c r="C4" s="1" t="s">
        <v>598</v>
      </c>
      <c r="D4" s="1" t="s">
        <v>698</v>
      </c>
      <c r="E4" s="1" t="s">
        <v>494</v>
      </c>
      <c r="F4" s="1" t="s">
        <v>496</v>
      </c>
      <c r="G4" s="1" t="s">
        <v>28</v>
      </c>
      <c r="H4" s="1" t="s">
        <v>29</v>
      </c>
    </row>
    <row r="5" spans="1:8" x14ac:dyDescent="0.25">
      <c r="A5" s="1" t="s">
        <v>524</v>
      </c>
      <c r="B5" s="1" t="s">
        <v>554</v>
      </c>
      <c r="C5" s="1" t="s">
        <v>697</v>
      </c>
      <c r="D5" s="1" t="s">
        <v>699</v>
      </c>
      <c r="E5" s="1" t="s">
        <v>494</v>
      </c>
      <c r="F5" s="1" t="s">
        <v>496</v>
      </c>
      <c r="G5" s="1" t="s">
        <v>28</v>
      </c>
      <c r="H5" s="1" t="s">
        <v>531</v>
      </c>
    </row>
    <row r="6" spans="1:8" x14ac:dyDescent="0.25">
      <c r="A6" s="1" t="s">
        <v>525</v>
      </c>
      <c r="B6" s="1" t="s">
        <v>555</v>
      </c>
      <c r="C6" s="1" t="s">
        <v>599</v>
      </c>
      <c r="D6" s="1" t="s">
        <v>699</v>
      </c>
      <c r="E6" s="1" t="s">
        <v>494</v>
      </c>
      <c r="F6" s="1" t="s">
        <v>496</v>
      </c>
      <c r="G6" s="1" t="s">
        <v>530</v>
      </c>
      <c r="H6" s="1" t="s">
        <v>531</v>
      </c>
    </row>
    <row r="7" spans="1:8" x14ac:dyDescent="0.25">
      <c r="A7" s="1" t="s">
        <v>526</v>
      </c>
      <c r="B7" s="1" t="s">
        <v>556</v>
      </c>
      <c r="C7" s="1" t="s">
        <v>600</v>
      </c>
      <c r="D7" s="1" t="s">
        <v>699</v>
      </c>
      <c r="E7" s="1" t="s">
        <v>493</v>
      </c>
      <c r="F7" s="1" t="s">
        <v>495</v>
      </c>
      <c r="G7" s="1" t="s">
        <v>28</v>
      </c>
      <c r="H7" s="1" t="s">
        <v>531</v>
      </c>
    </row>
    <row r="8" spans="1:8" x14ac:dyDescent="0.25">
      <c r="A8" s="1" t="s">
        <v>527</v>
      </c>
      <c r="B8" s="1" t="s">
        <v>527</v>
      </c>
      <c r="C8" s="1" t="s">
        <v>601</v>
      </c>
      <c r="D8" s="1" t="s">
        <v>699</v>
      </c>
      <c r="E8" s="1" t="s">
        <v>493</v>
      </c>
      <c r="F8" s="1" t="s">
        <v>495</v>
      </c>
      <c r="G8" s="1" t="s">
        <v>28</v>
      </c>
      <c r="H8" s="1" t="s">
        <v>531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"/>
  <sheetViews>
    <sheetView workbookViewId="0"/>
  </sheetViews>
  <sheetFormatPr defaultRowHeight="15" x14ac:dyDescent="0.25"/>
  <cols>
    <col min="1" max="1" width="15.5703125" bestFit="1" customWidth="1"/>
    <col min="2" max="2" width="13" bestFit="1" customWidth="1"/>
    <col min="3" max="3" width="14.7109375" bestFit="1" customWidth="1"/>
    <col min="4" max="4" width="15.7109375" bestFit="1" customWidth="1"/>
    <col min="5" max="5" width="14.140625" bestFit="1" customWidth="1"/>
    <col min="6" max="6" width="17.85546875" bestFit="1" customWidth="1"/>
    <col min="7" max="7" width="21" bestFit="1" customWidth="1"/>
    <col min="8" max="9" width="16.85546875" bestFit="1" customWidth="1"/>
    <col min="10" max="10" width="12.42578125" bestFit="1" customWidth="1"/>
  </cols>
  <sheetData>
    <row r="1" spans="1:10" x14ac:dyDescent="0.25">
      <c r="A1" t="s">
        <v>488</v>
      </c>
      <c r="B1" t="s">
        <v>541</v>
      </c>
      <c r="C1" t="s">
        <v>487</v>
      </c>
      <c r="D1" t="s">
        <v>504</v>
      </c>
      <c r="E1" t="s">
        <v>484</v>
      </c>
      <c r="F1" t="s">
        <v>542</v>
      </c>
      <c r="G1" t="s">
        <v>543</v>
      </c>
      <c r="H1" t="s">
        <v>544</v>
      </c>
      <c r="I1" t="s">
        <v>545</v>
      </c>
      <c r="J1" t="s">
        <v>546</v>
      </c>
    </row>
    <row r="2" spans="1:10" x14ac:dyDescent="0.25">
      <c r="A2" s="1" t="s">
        <v>532</v>
      </c>
      <c r="B2" s="1" t="s">
        <v>547</v>
      </c>
      <c r="C2" s="1" t="s">
        <v>690</v>
      </c>
      <c r="D2" s="1" t="s">
        <v>28</v>
      </c>
      <c r="E2" s="1" t="s">
        <v>596</v>
      </c>
      <c r="F2" s="1" t="s">
        <v>497</v>
      </c>
      <c r="G2" s="1" t="s">
        <v>497</v>
      </c>
      <c r="H2" s="1" t="s">
        <v>497</v>
      </c>
      <c r="I2" s="1" t="s">
        <v>497</v>
      </c>
      <c r="J2" s="1"/>
    </row>
    <row r="3" spans="1:10" x14ac:dyDescent="0.25">
      <c r="A3" s="1" t="s">
        <v>533</v>
      </c>
      <c r="B3" s="1" t="s">
        <v>548</v>
      </c>
      <c r="C3" s="1" t="s">
        <v>691</v>
      </c>
      <c r="D3" s="1" t="s">
        <v>28</v>
      </c>
      <c r="E3" s="1" t="s">
        <v>596</v>
      </c>
      <c r="F3" s="1" t="s">
        <v>528</v>
      </c>
      <c r="G3" s="1" t="s">
        <v>497</v>
      </c>
      <c r="H3" s="1" t="s">
        <v>497</v>
      </c>
      <c r="I3" s="1" t="s">
        <v>497</v>
      </c>
      <c r="J3" s="1"/>
    </row>
    <row r="4" spans="1:10" x14ac:dyDescent="0.25">
      <c r="A4" s="1" t="s">
        <v>534</v>
      </c>
      <c r="B4" s="1" t="s">
        <v>549</v>
      </c>
      <c r="C4" s="1" t="s">
        <v>692</v>
      </c>
      <c r="D4" s="1" t="s">
        <v>28</v>
      </c>
      <c r="E4" s="1" t="s">
        <v>597</v>
      </c>
      <c r="F4" s="1" t="s">
        <v>529</v>
      </c>
      <c r="G4" s="1" t="s">
        <v>497</v>
      </c>
      <c r="H4" s="1" t="s">
        <v>497</v>
      </c>
      <c r="I4" s="1" t="s">
        <v>497</v>
      </c>
      <c r="J4" s="1"/>
    </row>
    <row r="5" spans="1:10" x14ac:dyDescent="0.25">
      <c r="A5" s="1" t="s">
        <v>535</v>
      </c>
      <c r="B5" s="1" t="s">
        <v>548</v>
      </c>
      <c r="C5" s="1" t="s">
        <v>696</v>
      </c>
      <c r="D5" s="1" t="s">
        <v>28</v>
      </c>
      <c r="E5" s="1" t="s">
        <v>697</v>
      </c>
      <c r="F5" s="1" t="s">
        <v>550</v>
      </c>
      <c r="G5" s="1" t="s">
        <v>497</v>
      </c>
      <c r="H5" s="1" t="s">
        <v>497</v>
      </c>
      <c r="I5" s="1" t="s">
        <v>497</v>
      </c>
      <c r="J5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6"/>
  <sheetViews>
    <sheetView tabSelected="1" topLeftCell="L1" workbookViewId="0">
      <selection activeCell="P2" sqref="P2:P86"/>
    </sheetView>
  </sheetViews>
  <sheetFormatPr defaultRowHeight="15" x14ac:dyDescent="0.25"/>
  <cols>
    <col min="1" max="1" width="12.140625" bestFit="1" customWidth="1"/>
    <col min="2" max="2" width="11.42578125" customWidth="1"/>
    <col min="3" max="3" width="12.28515625" bestFit="1" customWidth="1"/>
    <col min="4" max="4" width="10.140625" bestFit="1" customWidth="1"/>
    <col min="5" max="5" width="11" bestFit="1" customWidth="1"/>
    <col min="6" max="6" width="14.7109375" bestFit="1" customWidth="1"/>
    <col min="7" max="7" width="77.140625" bestFit="1" customWidth="1"/>
    <col min="8" max="8" width="73.85546875" bestFit="1" customWidth="1"/>
    <col min="9" max="10" width="81.140625" bestFit="1" customWidth="1"/>
    <col min="11" max="11" width="13.42578125" bestFit="1" customWidth="1"/>
    <col min="12" max="12" width="14.42578125" bestFit="1" customWidth="1"/>
    <col min="13" max="13" width="13.5703125" bestFit="1" customWidth="1"/>
    <col min="14" max="14" width="10.85546875" bestFit="1" customWidth="1"/>
    <col min="15" max="15" width="14.7109375" bestFit="1" customWidth="1"/>
    <col min="16" max="16" width="12.28515625" bestFit="1" customWidth="1"/>
  </cols>
  <sheetData>
    <row r="1" spans="1:20" x14ac:dyDescent="0.25">
      <c r="A1" t="s">
        <v>505</v>
      </c>
      <c r="B1" t="s">
        <v>506</v>
      </c>
      <c r="C1" t="s">
        <v>507</v>
      </c>
      <c r="D1" t="s">
        <v>508</v>
      </c>
      <c r="E1" t="s">
        <v>509</v>
      </c>
      <c r="F1" t="s">
        <v>510</v>
      </c>
      <c r="G1" t="s">
        <v>511</v>
      </c>
      <c r="H1" t="s">
        <v>512</v>
      </c>
      <c r="I1" t="s">
        <v>513</v>
      </c>
      <c r="J1" t="s">
        <v>514</v>
      </c>
      <c r="K1" t="s">
        <v>515</v>
      </c>
      <c r="L1" t="s">
        <v>516</v>
      </c>
      <c r="M1" t="s">
        <v>517</v>
      </c>
      <c r="N1" t="s">
        <v>518</v>
      </c>
      <c r="O1" t="s">
        <v>519</v>
      </c>
      <c r="P1" t="s">
        <v>733</v>
      </c>
      <c r="S1" t="s">
        <v>506</v>
      </c>
    </row>
    <row r="2" spans="1:20" x14ac:dyDescent="0.25">
      <c r="A2" s="1" t="s">
        <v>536</v>
      </c>
      <c r="B2" s="1" t="s">
        <v>604</v>
      </c>
      <c r="C2" s="1" t="s">
        <v>28</v>
      </c>
      <c r="D2" s="1" t="s">
        <v>40</v>
      </c>
      <c r="E2" s="1" t="s">
        <v>27</v>
      </c>
      <c r="F2" s="1" t="s">
        <v>29</v>
      </c>
      <c r="G2" s="1" t="s">
        <v>95</v>
      </c>
      <c r="H2" t="s">
        <v>95</v>
      </c>
      <c r="I2" t="s">
        <v>36</v>
      </c>
      <c r="J2" s="1" t="s">
        <v>381</v>
      </c>
      <c r="K2" s="1" t="s">
        <v>500</v>
      </c>
      <c r="L2">
        <v>4</v>
      </c>
      <c r="M2" s="1" t="s">
        <v>500</v>
      </c>
      <c r="N2">
        <v>4000</v>
      </c>
      <c r="O2">
        <v>4000</v>
      </c>
      <c r="P2" s="1" t="s">
        <v>734</v>
      </c>
      <c r="Q2" t="str">
        <f>CONCATENATE(Tabella5[[#This Row],[PartCode]],"_",Tabella5[[#This Row],[PartRev]])</f>
        <v>A0845.00_C_C</v>
      </c>
      <c r="S2" t="s">
        <v>39</v>
      </c>
      <c r="T2" t="str">
        <f>CONCATENATE(SUBSTITUTE(SUBSTITUTE(B2,".","_"),"_NULL",""),".jpg")</f>
        <v>A0845_00_C.jpg</v>
      </c>
    </row>
    <row r="3" spans="1:20" x14ac:dyDescent="0.25">
      <c r="A3" s="1" t="s">
        <v>537</v>
      </c>
      <c r="B3" s="1" t="s">
        <v>605</v>
      </c>
      <c r="C3" s="1" t="s">
        <v>28</v>
      </c>
      <c r="D3" s="1" t="s">
        <v>44</v>
      </c>
      <c r="E3" s="1" t="s">
        <v>27</v>
      </c>
      <c r="F3" s="1" t="s">
        <v>29</v>
      </c>
      <c r="G3" s="1" t="s">
        <v>95</v>
      </c>
      <c r="H3" t="s">
        <v>95</v>
      </c>
      <c r="I3" t="s">
        <v>41</v>
      </c>
      <c r="J3" s="1" t="s">
        <v>382</v>
      </c>
      <c r="K3" s="1" t="s">
        <v>500</v>
      </c>
      <c r="L3">
        <v>4</v>
      </c>
      <c r="M3" s="1" t="s">
        <v>500</v>
      </c>
      <c r="N3">
        <v>4000</v>
      </c>
      <c r="O3">
        <v>4000</v>
      </c>
      <c r="P3" s="1" t="s">
        <v>735</v>
      </c>
      <c r="Q3" t="str">
        <f>CONCATENATE(Tabella5[[#This Row],[PartCode]],"_",Tabella5[[#This Row],[PartRev]])</f>
        <v>A0846.00_A_A</v>
      </c>
      <c r="S3" t="s">
        <v>43</v>
      </c>
      <c r="T3" t="str">
        <f t="shared" ref="T3:T66" si="0">CONCATENATE(SUBSTITUTE(SUBSTITUTE(B3,".","_"),"_NULL",""),".jpg")</f>
        <v>A0846_00_A.jpg</v>
      </c>
    </row>
    <row r="4" spans="1:20" x14ac:dyDescent="0.25">
      <c r="A4" s="1" t="s">
        <v>538</v>
      </c>
      <c r="B4" s="1" t="s">
        <v>606</v>
      </c>
      <c r="C4" s="1" t="s">
        <v>28</v>
      </c>
      <c r="D4" s="1" t="s">
        <v>48</v>
      </c>
      <c r="E4" s="1" t="s">
        <v>27</v>
      </c>
      <c r="F4" s="1" t="s">
        <v>29</v>
      </c>
      <c r="G4" s="1" t="s">
        <v>95</v>
      </c>
      <c r="H4" t="s">
        <v>95</v>
      </c>
      <c r="I4" t="s">
        <v>45</v>
      </c>
      <c r="J4" s="1" t="s">
        <v>383</v>
      </c>
      <c r="K4" s="1" t="s">
        <v>500</v>
      </c>
      <c r="L4">
        <v>4</v>
      </c>
      <c r="M4" s="1" t="s">
        <v>500</v>
      </c>
      <c r="N4">
        <v>4000</v>
      </c>
      <c r="O4">
        <v>4000</v>
      </c>
      <c r="P4" s="1" t="s">
        <v>736</v>
      </c>
      <c r="Q4" t="str">
        <f>CONCATENATE(Tabella5[[#This Row],[PartCode]],"_",Tabella5[[#This Row],[PartRev]])</f>
        <v>A0854.00_B_B</v>
      </c>
      <c r="S4" t="s">
        <v>47</v>
      </c>
      <c r="T4" t="str">
        <f t="shared" si="0"/>
        <v>A0854_00_B.jpg</v>
      </c>
    </row>
    <row r="5" spans="1:20" x14ac:dyDescent="0.25">
      <c r="A5" s="1"/>
      <c r="B5" s="1" t="s">
        <v>607</v>
      </c>
      <c r="C5" s="1" t="s">
        <v>28</v>
      </c>
      <c r="D5" s="1" t="s">
        <v>48</v>
      </c>
      <c r="E5" s="1" t="s">
        <v>27</v>
      </c>
      <c r="F5" s="1" t="s">
        <v>29</v>
      </c>
      <c r="G5" s="1" t="s">
        <v>95</v>
      </c>
      <c r="H5" t="s">
        <v>95</v>
      </c>
      <c r="I5" t="s">
        <v>49</v>
      </c>
      <c r="J5" s="1" t="s">
        <v>384</v>
      </c>
      <c r="K5" s="1" t="s">
        <v>95</v>
      </c>
      <c r="L5" t="s">
        <v>95</v>
      </c>
      <c r="M5" s="1" t="s">
        <v>95</v>
      </c>
      <c r="N5" t="s">
        <v>95</v>
      </c>
      <c r="O5" t="s">
        <v>95</v>
      </c>
      <c r="P5" s="1" t="s">
        <v>737</v>
      </c>
      <c r="Q5" t="str">
        <f>CONCATENATE(Tabella5[[#This Row],[PartCode]],"_",Tabella5[[#This Row],[PartRev]])</f>
        <v>A0903.00_B_B</v>
      </c>
      <c r="S5" t="s">
        <v>51</v>
      </c>
      <c r="T5" t="str">
        <f t="shared" si="0"/>
        <v>A0903_00_B.jpg</v>
      </c>
    </row>
    <row r="6" spans="1:20" x14ac:dyDescent="0.25">
      <c r="A6" s="1"/>
      <c r="B6" s="1" t="s">
        <v>608</v>
      </c>
      <c r="C6" s="1" t="s">
        <v>28</v>
      </c>
      <c r="D6" s="1" t="s">
        <v>48</v>
      </c>
      <c r="E6" s="1" t="s">
        <v>27</v>
      </c>
      <c r="F6" s="1" t="s">
        <v>29</v>
      </c>
      <c r="G6" s="1" t="s">
        <v>95</v>
      </c>
      <c r="H6" t="s">
        <v>95</v>
      </c>
      <c r="I6" t="s">
        <v>52</v>
      </c>
      <c r="J6" s="1" t="s">
        <v>385</v>
      </c>
      <c r="K6" s="1" t="s">
        <v>95</v>
      </c>
      <c r="L6" t="s">
        <v>95</v>
      </c>
      <c r="M6" s="1" t="s">
        <v>95</v>
      </c>
      <c r="N6" t="s">
        <v>95</v>
      </c>
      <c r="O6" t="s">
        <v>95</v>
      </c>
      <c r="P6" s="1" t="s">
        <v>738</v>
      </c>
      <c r="Q6" t="str">
        <f>CONCATENATE(Tabella5[[#This Row],[PartCode]],"_",Tabella5[[#This Row],[PartRev]])</f>
        <v>A0907.00_B_B</v>
      </c>
      <c r="S6" t="s">
        <v>54</v>
      </c>
      <c r="T6" t="str">
        <f t="shared" si="0"/>
        <v>A0907_00_B.jpg</v>
      </c>
    </row>
    <row r="7" spans="1:20" x14ac:dyDescent="0.25">
      <c r="A7" s="1"/>
      <c r="B7" s="1" t="s">
        <v>703</v>
      </c>
      <c r="C7" s="1" t="s">
        <v>28</v>
      </c>
      <c r="D7" s="1" t="s">
        <v>95</v>
      </c>
      <c r="E7" s="1" t="s">
        <v>27</v>
      </c>
      <c r="F7" s="1" t="s">
        <v>29</v>
      </c>
      <c r="G7" s="1" t="s">
        <v>267</v>
      </c>
      <c r="H7" t="s">
        <v>568</v>
      </c>
      <c r="I7" t="s">
        <v>266</v>
      </c>
      <c r="J7" s="1" t="s">
        <v>386</v>
      </c>
      <c r="K7" s="1" t="s">
        <v>95</v>
      </c>
      <c r="L7" t="s">
        <v>95</v>
      </c>
      <c r="M7" s="1" t="s">
        <v>95</v>
      </c>
      <c r="N7" t="s">
        <v>95</v>
      </c>
      <c r="O7" t="s">
        <v>95</v>
      </c>
      <c r="P7" s="1" t="s">
        <v>739</v>
      </c>
      <c r="Q7" t="str">
        <f>CONCATENATE(Tabella5[[#This Row],[PartCode]],"_",Tabella5[[#This Row],[PartRev]])</f>
        <v>B3402_01_NULL_NULL</v>
      </c>
      <c r="S7" t="s">
        <v>268</v>
      </c>
      <c r="T7" t="str">
        <f t="shared" si="0"/>
        <v>B3402_01.jpg</v>
      </c>
    </row>
    <row r="8" spans="1:20" x14ac:dyDescent="0.25">
      <c r="A8" s="1"/>
      <c r="B8" s="1" t="s">
        <v>704</v>
      </c>
      <c r="C8" s="1" t="s">
        <v>28</v>
      </c>
      <c r="D8" s="1" t="s">
        <v>40</v>
      </c>
      <c r="E8" s="1" t="s">
        <v>27</v>
      </c>
      <c r="F8" s="1" t="s">
        <v>29</v>
      </c>
      <c r="G8" s="1" t="s">
        <v>294</v>
      </c>
      <c r="H8" t="s">
        <v>451</v>
      </c>
      <c r="I8" t="s">
        <v>290</v>
      </c>
      <c r="J8" s="1" t="s">
        <v>387</v>
      </c>
      <c r="K8" s="1" t="s">
        <v>95</v>
      </c>
      <c r="L8" t="s">
        <v>95</v>
      </c>
      <c r="M8" s="1" t="s">
        <v>95</v>
      </c>
      <c r="N8" t="s">
        <v>95</v>
      </c>
      <c r="O8" t="s">
        <v>95</v>
      </c>
      <c r="P8" s="1" t="s">
        <v>740</v>
      </c>
      <c r="Q8" t="str">
        <f>CONCATENATE(Tabella5[[#This Row],[PartCode]],"_",Tabella5[[#This Row],[PartRev]])</f>
        <v>B3729_02_C_C</v>
      </c>
      <c r="S8" t="s">
        <v>292</v>
      </c>
      <c r="T8" t="str">
        <f t="shared" si="0"/>
        <v>B3729_02_C.jpg</v>
      </c>
    </row>
    <row r="9" spans="1:20" x14ac:dyDescent="0.25">
      <c r="A9" s="1"/>
      <c r="B9" s="1" t="s">
        <v>705</v>
      </c>
      <c r="C9" s="1" t="s">
        <v>28</v>
      </c>
      <c r="D9" s="1" t="s">
        <v>95</v>
      </c>
      <c r="E9" s="1" t="s">
        <v>272</v>
      </c>
      <c r="F9" s="1" t="s">
        <v>29</v>
      </c>
      <c r="G9" s="1" t="s">
        <v>273</v>
      </c>
      <c r="H9" t="s">
        <v>452</v>
      </c>
      <c r="I9" t="s">
        <v>269</v>
      </c>
      <c r="J9" s="1" t="s">
        <v>388</v>
      </c>
      <c r="K9" s="1" t="s">
        <v>95</v>
      </c>
      <c r="L9" t="s">
        <v>95</v>
      </c>
      <c r="M9" s="1" t="s">
        <v>95</v>
      </c>
      <c r="N9" t="s">
        <v>95</v>
      </c>
      <c r="O9" t="s">
        <v>95</v>
      </c>
      <c r="P9" s="1" t="s">
        <v>741</v>
      </c>
      <c r="Q9" t="str">
        <f>CONCATENATE(Tabella5[[#This Row],[PartCode]],"_",Tabella5[[#This Row],[PartRev]])</f>
        <v>B3729_03_NULL_NULL</v>
      </c>
      <c r="S9" t="s">
        <v>271</v>
      </c>
      <c r="T9" t="str">
        <f t="shared" si="0"/>
        <v>B3729_03.jpg</v>
      </c>
    </row>
    <row r="10" spans="1:20" x14ac:dyDescent="0.25">
      <c r="A10" s="1"/>
      <c r="B10" s="1" t="s">
        <v>609</v>
      </c>
      <c r="C10" s="1" t="s">
        <v>28</v>
      </c>
      <c r="D10" s="1" t="s">
        <v>58</v>
      </c>
      <c r="E10" s="1" t="s">
        <v>27</v>
      </c>
      <c r="F10" s="1" t="s">
        <v>29</v>
      </c>
      <c r="G10" s="1" t="s">
        <v>59</v>
      </c>
      <c r="H10" t="s">
        <v>453</v>
      </c>
      <c r="I10" t="s">
        <v>55</v>
      </c>
      <c r="J10" s="1" t="s">
        <v>389</v>
      </c>
      <c r="K10" s="1" t="s">
        <v>95</v>
      </c>
      <c r="L10" t="s">
        <v>95</v>
      </c>
      <c r="M10" s="1" t="s">
        <v>95</v>
      </c>
      <c r="N10" t="s">
        <v>95</v>
      </c>
      <c r="O10" t="s">
        <v>95</v>
      </c>
      <c r="P10" s="1" t="s">
        <v>742</v>
      </c>
      <c r="Q10" t="str">
        <f>CONCATENATE(Tabella5[[#This Row],[PartCode]],"_",Tabella5[[#This Row],[PartRev]])</f>
        <v>B4353.01_G_G</v>
      </c>
      <c r="S10" t="s">
        <v>57</v>
      </c>
      <c r="T10" t="str">
        <f t="shared" si="0"/>
        <v>B4353_01_G.jpg</v>
      </c>
    </row>
    <row r="11" spans="1:20" x14ac:dyDescent="0.25">
      <c r="A11" s="1"/>
      <c r="B11" s="1" t="s">
        <v>610</v>
      </c>
      <c r="C11" s="1" t="s">
        <v>28</v>
      </c>
      <c r="D11" s="1" t="s">
        <v>40</v>
      </c>
      <c r="E11" s="1" t="s">
        <v>27</v>
      </c>
      <c r="F11" s="1" t="s">
        <v>29</v>
      </c>
      <c r="G11" s="1" t="s">
        <v>63</v>
      </c>
      <c r="H11" t="s">
        <v>454</v>
      </c>
      <c r="I11" t="s">
        <v>60</v>
      </c>
      <c r="J11" s="1" t="s">
        <v>390</v>
      </c>
      <c r="K11" s="1" t="s">
        <v>95</v>
      </c>
      <c r="L11" t="s">
        <v>95</v>
      </c>
      <c r="M11" s="1" t="s">
        <v>95</v>
      </c>
      <c r="N11" t="s">
        <v>95</v>
      </c>
      <c r="O11" t="s">
        <v>95</v>
      </c>
      <c r="P11" s="1" t="s">
        <v>743</v>
      </c>
      <c r="Q11" t="str">
        <f>CONCATENATE(Tabella5[[#This Row],[PartCode]],"_",Tabella5[[#This Row],[PartRev]])</f>
        <v>B4354.01_C_C</v>
      </c>
      <c r="S11" t="s">
        <v>62</v>
      </c>
      <c r="T11" t="str">
        <f t="shared" si="0"/>
        <v>B4354_01_C.jpg</v>
      </c>
    </row>
    <row r="12" spans="1:20" x14ac:dyDescent="0.25">
      <c r="A12" s="1"/>
      <c r="B12" s="1" t="s">
        <v>612</v>
      </c>
      <c r="C12" s="1" t="s">
        <v>28</v>
      </c>
      <c r="D12" s="1" t="s">
        <v>67</v>
      </c>
      <c r="E12" s="1" t="s">
        <v>27</v>
      </c>
      <c r="F12" s="1" t="s">
        <v>29</v>
      </c>
      <c r="G12" s="1" t="s">
        <v>68</v>
      </c>
      <c r="H12" t="s">
        <v>455</v>
      </c>
      <c r="I12" t="s">
        <v>64</v>
      </c>
      <c r="J12" s="1" t="s">
        <v>391</v>
      </c>
      <c r="K12" s="1" t="s">
        <v>95</v>
      </c>
      <c r="L12" t="s">
        <v>95</v>
      </c>
      <c r="M12" s="1" t="s">
        <v>95</v>
      </c>
      <c r="N12" t="s">
        <v>95</v>
      </c>
      <c r="O12" t="s">
        <v>95</v>
      </c>
      <c r="P12" s="1" t="s">
        <v>744</v>
      </c>
      <c r="Q12" t="str">
        <f>CONCATENATE(Tabella5[[#This Row],[PartCode]],"_",Tabella5[[#This Row],[PartRev]])</f>
        <v>B4355.02_E_E</v>
      </c>
      <c r="S12" t="s">
        <v>66</v>
      </c>
      <c r="T12" t="str">
        <f t="shared" si="0"/>
        <v>B4355_02_E.jpg</v>
      </c>
    </row>
    <row r="13" spans="1:20" x14ac:dyDescent="0.25">
      <c r="A13" s="1"/>
      <c r="B13" s="1" t="s">
        <v>613</v>
      </c>
      <c r="C13" s="1" t="s">
        <v>28</v>
      </c>
      <c r="D13" s="1" t="s">
        <v>48</v>
      </c>
      <c r="E13" s="1" t="s">
        <v>27</v>
      </c>
      <c r="F13" s="1" t="s">
        <v>29</v>
      </c>
      <c r="G13" s="1" t="s">
        <v>72</v>
      </c>
      <c r="H13" t="s">
        <v>456</v>
      </c>
      <c r="I13" t="s">
        <v>69</v>
      </c>
      <c r="J13" s="1" t="s">
        <v>392</v>
      </c>
      <c r="K13" s="1" t="s">
        <v>95</v>
      </c>
      <c r="L13" t="s">
        <v>95</v>
      </c>
      <c r="M13" s="1" t="s">
        <v>95</v>
      </c>
      <c r="N13" t="s">
        <v>95</v>
      </c>
      <c r="O13" t="s">
        <v>95</v>
      </c>
      <c r="P13" s="1" t="s">
        <v>745</v>
      </c>
      <c r="Q13" t="str">
        <f>CONCATENATE(Tabella5[[#This Row],[PartCode]],"_",Tabella5[[#This Row],[PartRev]])</f>
        <v>B4356.03_B_B</v>
      </c>
      <c r="S13" t="s">
        <v>71</v>
      </c>
      <c r="T13" t="str">
        <f t="shared" si="0"/>
        <v>B4356_03_B.jpg</v>
      </c>
    </row>
    <row r="14" spans="1:20" x14ac:dyDescent="0.25">
      <c r="A14" s="1"/>
      <c r="B14" s="1" t="s">
        <v>615</v>
      </c>
      <c r="C14" s="1" t="s">
        <v>28</v>
      </c>
      <c r="D14" s="1" t="s">
        <v>40</v>
      </c>
      <c r="E14" s="1" t="s">
        <v>27</v>
      </c>
      <c r="F14" s="1" t="s">
        <v>29</v>
      </c>
      <c r="G14" s="1" t="s">
        <v>76</v>
      </c>
      <c r="H14" t="s">
        <v>457</v>
      </c>
      <c r="I14" t="s">
        <v>73</v>
      </c>
      <c r="J14" s="1" t="s">
        <v>393</v>
      </c>
      <c r="K14" s="1" t="s">
        <v>95</v>
      </c>
      <c r="L14" t="s">
        <v>95</v>
      </c>
      <c r="M14" s="1" t="s">
        <v>95</v>
      </c>
      <c r="N14" t="s">
        <v>95</v>
      </c>
      <c r="O14" t="s">
        <v>95</v>
      </c>
      <c r="P14" s="1" t="s">
        <v>746</v>
      </c>
      <c r="Q14" t="str">
        <f>CONCATENATE(Tabella5[[#This Row],[PartCode]],"_",Tabella5[[#This Row],[PartRev]])</f>
        <v>B4357.02_C_C</v>
      </c>
      <c r="S14" t="s">
        <v>75</v>
      </c>
      <c r="T14" t="str">
        <f t="shared" si="0"/>
        <v>B4357_02_C.jpg</v>
      </c>
    </row>
    <row r="15" spans="1:20" x14ac:dyDescent="0.25">
      <c r="A15" s="1"/>
      <c r="B15" s="1" t="s">
        <v>616</v>
      </c>
      <c r="C15" s="1" t="s">
        <v>28</v>
      </c>
      <c r="D15" s="1" t="s">
        <v>44</v>
      </c>
      <c r="E15" s="1" t="s">
        <v>27</v>
      </c>
      <c r="F15" s="1" t="s">
        <v>29</v>
      </c>
      <c r="G15" s="1" t="s">
        <v>95</v>
      </c>
      <c r="H15" t="s">
        <v>95</v>
      </c>
      <c r="I15" t="s">
        <v>77</v>
      </c>
      <c r="J15" s="1" t="s">
        <v>394</v>
      </c>
      <c r="K15" s="1" t="s">
        <v>95</v>
      </c>
      <c r="L15" t="s">
        <v>95</v>
      </c>
      <c r="M15" s="1" t="s">
        <v>95</v>
      </c>
      <c r="N15" t="s">
        <v>95</v>
      </c>
      <c r="O15" t="s">
        <v>95</v>
      </c>
      <c r="P15" s="1" t="s">
        <v>747</v>
      </c>
      <c r="Q15" t="str">
        <f>CONCATENATE(Tabella5[[#This Row],[PartCode]],"_",Tabella5[[#This Row],[PartRev]])</f>
        <v>B4358.01_A_A</v>
      </c>
      <c r="S15" t="s">
        <v>79</v>
      </c>
      <c r="T15" t="str">
        <f t="shared" si="0"/>
        <v>B4358_01_A.jpg</v>
      </c>
    </row>
    <row r="16" spans="1:20" x14ac:dyDescent="0.25">
      <c r="A16" s="1"/>
      <c r="B16" s="1" t="s">
        <v>617</v>
      </c>
      <c r="C16" s="1" t="s">
        <v>28</v>
      </c>
      <c r="D16" s="1" t="s">
        <v>67</v>
      </c>
      <c r="E16" s="1" t="s">
        <v>27</v>
      </c>
      <c r="F16" s="1" t="s">
        <v>29</v>
      </c>
      <c r="G16" s="1" t="s">
        <v>83</v>
      </c>
      <c r="H16" t="s">
        <v>458</v>
      </c>
      <c r="I16" t="s">
        <v>80</v>
      </c>
      <c r="J16" s="1" t="s">
        <v>395</v>
      </c>
      <c r="K16" s="1" t="s">
        <v>95</v>
      </c>
      <c r="L16" t="s">
        <v>95</v>
      </c>
      <c r="M16" s="1" t="s">
        <v>95</v>
      </c>
      <c r="N16" t="s">
        <v>95</v>
      </c>
      <c r="O16" t="s">
        <v>95</v>
      </c>
      <c r="P16" s="1" t="s">
        <v>748</v>
      </c>
      <c r="Q16" t="str">
        <f>CONCATENATE(Tabella5[[#This Row],[PartCode]],"_",Tabella5[[#This Row],[PartRev]])</f>
        <v>B4359.00_E_E</v>
      </c>
      <c r="S16" t="s">
        <v>82</v>
      </c>
      <c r="T16" t="str">
        <f t="shared" si="0"/>
        <v>B4359_00_E.jpg</v>
      </c>
    </row>
    <row r="17" spans="1:20" x14ac:dyDescent="0.25">
      <c r="A17" s="1"/>
      <c r="B17" s="1" t="s">
        <v>618</v>
      </c>
      <c r="C17" s="1" t="s">
        <v>28</v>
      </c>
      <c r="D17" s="1" t="s">
        <v>40</v>
      </c>
      <c r="E17" s="1" t="s">
        <v>27</v>
      </c>
      <c r="F17" s="1" t="s">
        <v>29</v>
      </c>
      <c r="G17" s="1" t="s">
        <v>87</v>
      </c>
      <c r="H17" t="s">
        <v>459</v>
      </c>
      <c r="I17" t="s">
        <v>84</v>
      </c>
      <c r="J17" s="1" t="s">
        <v>396</v>
      </c>
      <c r="K17" s="1" t="s">
        <v>95</v>
      </c>
      <c r="L17" t="s">
        <v>95</v>
      </c>
      <c r="M17" s="1" t="s">
        <v>95</v>
      </c>
      <c r="N17" t="s">
        <v>95</v>
      </c>
      <c r="O17" t="s">
        <v>95</v>
      </c>
      <c r="P17" s="1" t="s">
        <v>749</v>
      </c>
      <c r="Q17" t="str">
        <f>CONCATENATE(Tabella5[[#This Row],[PartCode]],"_",Tabella5[[#This Row],[PartRev]])</f>
        <v>B4360.00_C_C</v>
      </c>
      <c r="S17" t="s">
        <v>86</v>
      </c>
      <c r="T17" t="str">
        <f t="shared" si="0"/>
        <v>B4360_00_C.jpg</v>
      </c>
    </row>
    <row r="18" spans="1:20" x14ac:dyDescent="0.25">
      <c r="A18" s="1"/>
      <c r="B18" s="1" t="s">
        <v>619</v>
      </c>
      <c r="C18" s="1" t="s">
        <v>28</v>
      </c>
      <c r="D18" s="1" t="s">
        <v>67</v>
      </c>
      <c r="E18" s="1" t="s">
        <v>27</v>
      </c>
      <c r="F18" s="1" t="s">
        <v>29</v>
      </c>
      <c r="G18" s="1" t="s">
        <v>91</v>
      </c>
      <c r="H18" t="s">
        <v>460</v>
      </c>
      <c r="I18" t="s">
        <v>88</v>
      </c>
      <c r="J18" s="1" t="s">
        <v>397</v>
      </c>
      <c r="K18" s="1" t="s">
        <v>95</v>
      </c>
      <c r="L18" t="s">
        <v>95</v>
      </c>
      <c r="M18" s="1" t="s">
        <v>95</v>
      </c>
      <c r="N18" t="s">
        <v>95</v>
      </c>
      <c r="O18" t="s">
        <v>95</v>
      </c>
      <c r="P18" s="1" t="s">
        <v>750</v>
      </c>
      <c r="Q18" t="str">
        <f>CONCATENATE(Tabella5[[#This Row],[PartCode]],"_",Tabella5[[#This Row],[PartRev]])</f>
        <v>B4361.02_E_E</v>
      </c>
      <c r="S18" t="s">
        <v>90</v>
      </c>
      <c r="T18" t="str">
        <f t="shared" si="0"/>
        <v>B4361_02_E.jpg</v>
      </c>
    </row>
    <row r="19" spans="1:20" x14ac:dyDescent="0.25">
      <c r="A19" s="1"/>
      <c r="B19" s="1" t="s">
        <v>706</v>
      </c>
      <c r="C19" s="1" t="s">
        <v>28</v>
      </c>
      <c r="D19" s="1" t="s">
        <v>95</v>
      </c>
      <c r="E19" s="1" t="s">
        <v>27</v>
      </c>
      <c r="F19" s="1" t="s">
        <v>29</v>
      </c>
      <c r="G19" s="1" t="s">
        <v>95</v>
      </c>
      <c r="H19" t="s">
        <v>95</v>
      </c>
      <c r="I19" t="s">
        <v>92</v>
      </c>
      <c r="J19" s="1" t="s">
        <v>398</v>
      </c>
      <c r="K19" s="1" t="s">
        <v>95</v>
      </c>
      <c r="L19" t="s">
        <v>95</v>
      </c>
      <c r="M19" s="1" t="s">
        <v>95</v>
      </c>
      <c r="N19" t="s">
        <v>95</v>
      </c>
      <c r="O19" t="s">
        <v>95</v>
      </c>
      <c r="P19" s="1" t="s">
        <v>751</v>
      </c>
      <c r="Q19" t="str">
        <f>CONCATENATE(Tabella5[[#This Row],[PartCode]],"_",Tabella5[[#This Row],[PartRev]])</f>
        <v>B4362.02_NULL_NULL</v>
      </c>
      <c r="S19" t="s">
        <v>94</v>
      </c>
      <c r="T19" t="str">
        <f t="shared" si="0"/>
        <v>B4362_02.jpg</v>
      </c>
    </row>
    <row r="20" spans="1:20" x14ac:dyDescent="0.25">
      <c r="A20" s="1"/>
      <c r="B20" s="1" t="s">
        <v>707</v>
      </c>
      <c r="C20" s="1" t="s">
        <v>28</v>
      </c>
      <c r="D20" s="1" t="s">
        <v>95</v>
      </c>
      <c r="E20" s="1" t="s">
        <v>27</v>
      </c>
      <c r="F20" s="1" t="s">
        <v>29</v>
      </c>
      <c r="G20" s="1" t="s">
        <v>96</v>
      </c>
      <c r="H20" t="s">
        <v>461</v>
      </c>
      <c r="I20" t="s">
        <v>95</v>
      </c>
      <c r="J20" s="1" t="s">
        <v>95</v>
      </c>
      <c r="K20" s="1" t="s">
        <v>95</v>
      </c>
      <c r="L20" t="s">
        <v>95</v>
      </c>
      <c r="M20" s="1" t="s">
        <v>95</v>
      </c>
      <c r="N20" t="s">
        <v>95</v>
      </c>
      <c r="O20" t="s">
        <v>95</v>
      </c>
      <c r="P20" s="1" t="s">
        <v>752</v>
      </c>
      <c r="Q20" t="str">
        <f>CONCATENATE(Tabella5[[#This Row],[PartCode]],"_",Tabella5[[#This Row],[PartRev]])</f>
        <v>B4362.04_NULL_NULL</v>
      </c>
      <c r="S20" t="s">
        <v>98</v>
      </c>
      <c r="T20" t="str">
        <f t="shared" si="0"/>
        <v>B4362_04.jpg</v>
      </c>
    </row>
    <row r="21" spans="1:20" x14ac:dyDescent="0.25">
      <c r="A21" s="1"/>
      <c r="B21" s="1" t="s">
        <v>620</v>
      </c>
      <c r="C21" s="1" t="s">
        <v>28</v>
      </c>
      <c r="D21" s="1" t="s">
        <v>44</v>
      </c>
      <c r="E21" s="1" t="s">
        <v>27</v>
      </c>
      <c r="F21" s="1" t="s">
        <v>29</v>
      </c>
      <c r="G21" s="1" t="s">
        <v>95</v>
      </c>
      <c r="H21" t="s">
        <v>95</v>
      </c>
      <c r="I21" t="s">
        <v>99</v>
      </c>
      <c r="J21" s="1" t="s">
        <v>399</v>
      </c>
      <c r="K21" s="1" t="s">
        <v>95</v>
      </c>
      <c r="L21" t="s">
        <v>95</v>
      </c>
      <c r="M21" s="1" t="s">
        <v>95</v>
      </c>
      <c r="N21" t="s">
        <v>95</v>
      </c>
      <c r="O21" t="s">
        <v>95</v>
      </c>
      <c r="P21" s="1" t="s">
        <v>753</v>
      </c>
      <c r="Q21" t="str">
        <f>CONCATENATE(Tabella5[[#This Row],[PartCode]],"_",Tabella5[[#This Row],[PartRev]])</f>
        <v>B4363.01_A_A</v>
      </c>
      <c r="S21" t="s">
        <v>101</v>
      </c>
      <c r="T21" t="str">
        <f t="shared" si="0"/>
        <v>B4363_01_A.jpg</v>
      </c>
    </row>
    <row r="22" spans="1:20" x14ac:dyDescent="0.25">
      <c r="A22" s="1"/>
      <c r="B22" s="1" t="s">
        <v>621</v>
      </c>
      <c r="C22" s="1" t="s">
        <v>28</v>
      </c>
      <c r="D22" s="1" t="s">
        <v>40</v>
      </c>
      <c r="E22" s="1" t="s">
        <v>27</v>
      </c>
      <c r="F22" s="1" t="s">
        <v>29</v>
      </c>
      <c r="G22" s="1" t="s">
        <v>102</v>
      </c>
      <c r="H22" t="s">
        <v>462</v>
      </c>
      <c r="I22" t="s">
        <v>95</v>
      </c>
      <c r="J22" s="1" t="s">
        <v>95</v>
      </c>
      <c r="K22" s="1" t="s">
        <v>95</v>
      </c>
      <c r="L22" t="s">
        <v>95</v>
      </c>
      <c r="M22" s="1" t="s">
        <v>95</v>
      </c>
      <c r="N22" t="s">
        <v>95</v>
      </c>
      <c r="O22" t="s">
        <v>95</v>
      </c>
      <c r="P22" s="1" t="s">
        <v>754</v>
      </c>
      <c r="Q22" t="str">
        <f>CONCATENATE(Tabella5[[#This Row],[PartCode]],"_",Tabella5[[#This Row],[PartRev]])</f>
        <v>B4364.02_C_C</v>
      </c>
      <c r="S22" t="s">
        <v>104</v>
      </c>
      <c r="T22" t="str">
        <f t="shared" si="0"/>
        <v>B4364_02_C.jpg</v>
      </c>
    </row>
    <row r="23" spans="1:20" x14ac:dyDescent="0.25">
      <c r="A23" s="1"/>
      <c r="B23" s="1" t="s">
        <v>708</v>
      </c>
      <c r="C23" s="1" t="s">
        <v>28</v>
      </c>
      <c r="D23" s="1" t="s">
        <v>95</v>
      </c>
      <c r="E23" s="1" t="s">
        <v>27</v>
      </c>
      <c r="F23" s="1" t="s">
        <v>29</v>
      </c>
      <c r="G23" s="1" t="s">
        <v>105</v>
      </c>
      <c r="H23" t="s">
        <v>463</v>
      </c>
      <c r="I23" t="s">
        <v>95</v>
      </c>
      <c r="J23" s="1" t="s">
        <v>95</v>
      </c>
      <c r="K23" s="1" t="s">
        <v>95</v>
      </c>
      <c r="L23" t="s">
        <v>95</v>
      </c>
      <c r="M23" s="1" t="s">
        <v>95</v>
      </c>
      <c r="N23" t="s">
        <v>95</v>
      </c>
      <c r="O23" t="s">
        <v>95</v>
      </c>
      <c r="P23" s="1" t="s">
        <v>755</v>
      </c>
      <c r="Q23" t="str">
        <f>CONCATENATE(Tabella5[[#This Row],[PartCode]],"_",Tabella5[[#This Row],[PartRev]])</f>
        <v>B4364.04_NULL_NULL</v>
      </c>
      <c r="S23" t="s">
        <v>107</v>
      </c>
      <c r="T23" t="str">
        <f t="shared" si="0"/>
        <v>B4364_04.jpg</v>
      </c>
    </row>
    <row r="24" spans="1:20" x14ac:dyDescent="0.25">
      <c r="A24" s="1"/>
      <c r="B24" s="1" t="s">
        <v>622</v>
      </c>
      <c r="C24" s="1" t="s">
        <v>28</v>
      </c>
      <c r="D24" s="1" t="s">
        <v>40</v>
      </c>
      <c r="E24" s="1" t="s">
        <v>27</v>
      </c>
      <c r="F24" s="1" t="s">
        <v>29</v>
      </c>
      <c r="G24" s="1" t="s">
        <v>111</v>
      </c>
      <c r="H24" t="s">
        <v>464</v>
      </c>
      <c r="I24" t="s">
        <v>108</v>
      </c>
      <c r="J24" s="1" t="s">
        <v>400</v>
      </c>
      <c r="K24" s="1" t="s">
        <v>95</v>
      </c>
      <c r="L24" t="s">
        <v>95</v>
      </c>
      <c r="M24" s="1" t="s">
        <v>95</v>
      </c>
      <c r="N24" t="s">
        <v>95</v>
      </c>
      <c r="O24" t="s">
        <v>95</v>
      </c>
      <c r="P24" s="1" t="s">
        <v>756</v>
      </c>
      <c r="Q24" t="str">
        <f>CONCATENATE(Tabella5[[#This Row],[PartCode]],"_",Tabella5[[#This Row],[PartRev]])</f>
        <v>B4366.00_C_C</v>
      </c>
      <c r="S24" t="s">
        <v>110</v>
      </c>
      <c r="T24" t="str">
        <f t="shared" si="0"/>
        <v>B4366_00_C.jpg</v>
      </c>
    </row>
    <row r="25" spans="1:20" x14ac:dyDescent="0.25">
      <c r="A25" s="1"/>
      <c r="B25" s="1" t="s">
        <v>623</v>
      </c>
      <c r="C25" s="1" t="s">
        <v>28</v>
      </c>
      <c r="D25" s="1" t="s">
        <v>44</v>
      </c>
      <c r="E25" s="1" t="s">
        <v>27</v>
      </c>
      <c r="F25" s="1" t="s">
        <v>29</v>
      </c>
      <c r="G25" s="1" t="s">
        <v>95</v>
      </c>
      <c r="H25" t="s">
        <v>95</v>
      </c>
      <c r="I25" t="s">
        <v>112</v>
      </c>
      <c r="J25" s="1" t="s">
        <v>401</v>
      </c>
      <c r="K25" s="1" t="s">
        <v>95</v>
      </c>
      <c r="L25" t="s">
        <v>95</v>
      </c>
      <c r="M25" s="1" t="s">
        <v>95</v>
      </c>
      <c r="N25" t="s">
        <v>95</v>
      </c>
      <c r="O25" t="s">
        <v>95</v>
      </c>
      <c r="P25" s="1" t="s">
        <v>757</v>
      </c>
      <c r="Q25" t="str">
        <f>CONCATENATE(Tabella5[[#This Row],[PartCode]],"_",Tabella5[[#This Row],[PartRev]])</f>
        <v>B4366.02_A_A</v>
      </c>
      <c r="S25" t="s">
        <v>114</v>
      </c>
      <c r="T25" t="str">
        <f t="shared" si="0"/>
        <v>B4366_02_A.jpg</v>
      </c>
    </row>
    <row r="26" spans="1:20" x14ac:dyDescent="0.25">
      <c r="A26" s="1"/>
      <c r="B26" s="1" t="s">
        <v>624</v>
      </c>
      <c r="C26" s="1" t="s">
        <v>28</v>
      </c>
      <c r="D26" s="1" t="s">
        <v>40</v>
      </c>
      <c r="E26" s="1" t="s">
        <v>27</v>
      </c>
      <c r="F26" s="1" t="s">
        <v>29</v>
      </c>
      <c r="G26" s="1" t="s">
        <v>118</v>
      </c>
      <c r="H26" t="s">
        <v>465</v>
      </c>
      <c r="I26" t="s">
        <v>115</v>
      </c>
      <c r="J26" s="1" t="s">
        <v>402</v>
      </c>
      <c r="K26" s="1" t="s">
        <v>95</v>
      </c>
      <c r="L26" t="s">
        <v>95</v>
      </c>
      <c r="M26" s="1" t="s">
        <v>95</v>
      </c>
      <c r="N26" t="s">
        <v>95</v>
      </c>
      <c r="O26" t="s">
        <v>95</v>
      </c>
      <c r="P26" s="1" t="s">
        <v>758</v>
      </c>
      <c r="Q26" t="str">
        <f>CONCATENATE(Tabella5[[#This Row],[PartCode]],"_",Tabella5[[#This Row],[PartRev]])</f>
        <v>B4367.00_C_C</v>
      </c>
      <c r="S26" t="s">
        <v>117</v>
      </c>
      <c r="T26" t="str">
        <f t="shared" si="0"/>
        <v>B4367_00_C.jpg</v>
      </c>
    </row>
    <row r="27" spans="1:20" x14ac:dyDescent="0.25">
      <c r="A27" s="1"/>
      <c r="B27" s="1" t="s">
        <v>625</v>
      </c>
      <c r="C27" s="1" t="s">
        <v>28</v>
      </c>
      <c r="D27" s="1" t="s">
        <v>40</v>
      </c>
      <c r="E27" s="1" t="s">
        <v>27</v>
      </c>
      <c r="F27" s="1" t="s">
        <v>29</v>
      </c>
      <c r="G27" s="1" t="s">
        <v>95</v>
      </c>
      <c r="H27" t="s">
        <v>95</v>
      </c>
      <c r="I27" t="s">
        <v>119</v>
      </c>
      <c r="J27" s="1" t="s">
        <v>403</v>
      </c>
      <c r="K27" s="1" t="s">
        <v>95</v>
      </c>
      <c r="L27" t="s">
        <v>95</v>
      </c>
      <c r="M27" s="1" t="s">
        <v>95</v>
      </c>
      <c r="N27" t="s">
        <v>95</v>
      </c>
      <c r="O27" t="s">
        <v>95</v>
      </c>
      <c r="P27" s="1" t="s">
        <v>759</v>
      </c>
      <c r="Q27" t="str">
        <f>CONCATENATE(Tabella5[[#This Row],[PartCode]],"_",Tabella5[[#This Row],[PartRev]])</f>
        <v>B4369.03_C_C</v>
      </c>
      <c r="S27" t="s">
        <v>121</v>
      </c>
      <c r="T27" t="str">
        <f t="shared" si="0"/>
        <v>B4369_03_C.jpg</v>
      </c>
    </row>
    <row r="28" spans="1:20" x14ac:dyDescent="0.25">
      <c r="A28" s="1"/>
      <c r="B28" s="1" t="s">
        <v>626</v>
      </c>
      <c r="C28" s="1" t="s">
        <v>28</v>
      </c>
      <c r="D28" s="1" t="s">
        <v>48</v>
      </c>
      <c r="E28" s="1" t="s">
        <v>27</v>
      </c>
      <c r="F28" s="1" t="s">
        <v>29</v>
      </c>
      <c r="G28" s="1" t="s">
        <v>125</v>
      </c>
      <c r="H28" t="s">
        <v>466</v>
      </c>
      <c r="I28" t="s">
        <v>122</v>
      </c>
      <c r="J28" s="1" t="s">
        <v>404</v>
      </c>
      <c r="K28" s="1" t="s">
        <v>95</v>
      </c>
      <c r="L28" t="s">
        <v>95</v>
      </c>
      <c r="M28" s="1" t="s">
        <v>95</v>
      </c>
      <c r="N28" t="s">
        <v>95</v>
      </c>
      <c r="O28" t="s">
        <v>95</v>
      </c>
      <c r="P28" s="1" t="s">
        <v>760</v>
      </c>
      <c r="Q28" t="str">
        <f>CONCATENATE(Tabella5[[#This Row],[PartCode]],"_",Tabella5[[#This Row],[PartRev]])</f>
        <v>B4373.01_B_B</v>
      </c>
      <c r="S28" t="s">
        <v>124</v>
      </c>
      <c r="T28" t="str">
        <f t="shared" si="0"/>
        <v>B4373_01_B.jpg</v>
      </c>
    </row>
    <row r="29" spans="1:20" x14ac:dyDescent="0.25">
      <c r="A29" s="1"/>
      <c r="B29" s="1" t="s">
        <v>627</v>
      </c>
      <c r="C29" s="1" t="s">
        <v>28</v>
      </c>
      <c r="D29" s="1" t="s">
        <v>129</v>
      </c>
      <c r="E29" s="1" t="s">
        <v>27</v>
      </c>
      <c r="F29" s="1" t="s">
        <v>29</v>
      </c>
      <c r="G29" s="1" t="s">
        <v>130</v>
      </c>
      <c r="H29" t="s">
        <v>467</v>
      </c>
      <c r="I29" t="s">
        <v>126</v>
      </c>
      <c r="J29" s="1" t="s">
        <v>405</v>
      </c>
      <c r="K29" s="1" t="s">
        <v>95</v>
      </c>
      <c r="L29" t="s">
        <v>95</v>
      </c>
      <c r="M29" s="1" t="s">
        <v>95</v>
      </c>
      <c r="N29" t="s">
        <v>95</v>
      </c>
      <c r="O29" t="s">
        <v>95</v>
      </c>
      <c r="P29" s="1" t="s">
        <v>761</v>
      </c>
      <c r="Q29" t="str">
        <f>CONCATENATE(Tabella5[[#This Row],[PartCode]],"_",Tabella5[[#This Row],[PartRev]])</f>
        <v>B4374.00_F_F</v>
      </c>
      <c r="S29" t="s">
        <v>128</v>
      </c>
      <c r="T29" t="str">
        <f t="shared" si="0"/>
        <v>B4374_00_F.jpg</v>
      </c>
    </row>
    <row r="30" spans="1:20" x14ac:dyDescent="0.25">
      <c r="A30" s="1"/>
      <c r="B30" s="1" t="s">
        <v>628</v>
      </c>
      <c r="C30" s="1" t="s">
        <v>28</v>
      </c>
      <c r="D30" s="1" t="s">
        <v>134</v>
      </c>
      <c r="E30" s="1" t="s">
        <v>27</v>
      </c>
      <c r="F30" s="1" t="s">
        <v>29</v>
      </c>
      <c r="G30" s="1" t="s">
        <v>135</v>
      </c>
      <c r="H30" t="s">
        <v>468</v>
      </c>
      <c r="I30" t="s">
        <v>131</v>
      </c>
      <c r="J30" s="1" t="s">
        <v>406</v>
      </c>
      <c r="K30" s="1" t="s">
        <v>95</v>
      </c>
      <c r="L30" t="s">
        <v>95</v>
      </c>
      <c r="M30" s="1" t="s">
        <v>95</v>
      </c>
      <c r="N30" t="s">
        <v>95</v>
      </c>
      <c r="O30" t="s">
        <v>95</v>
      </c>
      <c r="P30" s="1" t="s">
        <v>762</v>
      </c>
      <c r="Q30" t="str">
        <f>CONCATENATE(Tabella5[[#This Row],[PartCode]],"_",Tabella5[[#This Row],[PartRev]])</f>
        <v>B4375.00_D_D</v>
      </c>
      <c r="S30" t="s">
        <v>133</v>
      </c>
      <c r="T30" t="str">
        <f t="shared" si="0"/>
        <v>B4375_00_D.jpg</v>
      </c>
    </row>
    <row r="31" spans="1:20" x14ac:dyDescent="0.25">
      <c r="A31" s="1"/>
      <c r="B31" s="1" t="s">
        <v>629</v>
      </c>
      <c r="C31" s="1" t="s">
        <v>28</v>
      </c>
      <c r="D31" s="1" t="s">
        <v>44</v>
      </c>
      <c r="E31" s="1" t="s">
        <v>27</v>
      </c>
      <c r="F31" s="1" t="s">
        <v>29</v>
      </c>
      <c r="G31" s="1" t="s">
        <v>95</v>
      </c>
      <c r="H31" t="s">
        <v>95</v>
      </c>
      <c r="I31" t="s">
        <v>136</v>
      </c>
      <c r="J31" s="1" t="s">
        <v>407</v>
      </c>
      <c r="K31" s="1" t="s">
        <v>95</v>
      </c>
      <c r="L31" t="s">
        <v>95</v>
      </c>
      <c r="M31" s="1" t="s">
        <v>95</v>
      </c>
      <c r="N31" t="s">
        <v>95</v>
      </c>
      <c r="O31" t="s">
        <v>95</v>
      </c>
      <c r="P31" s="1" t="s">
        <v>763</v>
      </c>
      <c r="Q31" t="str">
        <f>CONCATENATE(Tabella5[[#This Row],[PartCode]],"_",Tabella5[[#This Row],[PartRev]])</f>
        <v>B4375.01_A_A</v>
      </c>
      <c r="S31" t="s">
        <v>138</v>
      </c>
      <c r="T31" t="str">
        <f t="shared" si="0"/>
        <v>B4375_01_A.jpg</v>
      </c>
    </row>
    <row r="32" spans="1:20" x14ac:dyDescent="0.25">
      <c r="A32" s="1"/>
      <c r="B32" s="1" t="s">
        <v>709</v>
      </c>
      <c r="C32" s="1" t="s">
        <v>28</v>
      </c>
      <c r="D32" s="1" t="s">
        <v>40</v>
      </c>
      <c r="E32" s="1" t="s">
        <v>27</v>
      </c>
      <c r="F32" s="1" t="s">
        <v>29</v>
      </c>
      <c r="G32" s="1" t="s">
        <v>298</v>
      </c>
      <c r="H32" t="s">
        <v>469</v>
      </c>
      <c r="I32" t="s">
        <v>295</v>
      </c>
      <c r="J32" s="1" t="s">
        <v>408</v>
      </c>
      <c r="K32" s="1" t="s">
        <v>95</v>
      </c>
      <c r="L32" t="s">
        <v>95</v>
      </c>
      <c r="M32" s="1" t="s">
        <v>95</v>
      </c>
      <c r="N32" t="s">
        <v>95</v>
      </c>
      <c r="O32" t="s">
        <v>95</v>
      </c>
      <c r="P32" s="1" t="s">
        <v>764</v>
      </c>
      <c r="Q32" t="str">
        <f>CONCATENATE(Tabella5[[#This Row],[PartCode]],"_",Tabella5[[#This Row],[PartRev]])</f>
        <v>B4780_00_C_C</v>
      </c>
      <c r="S32" t="s">
        <v>297</v>
      </c>
      <c r="T32" t="str">
        <f t="shared" si="0"/>
        <v>B4780_00_C.jpg</v>
      </c>
    </row>
    <row r="33" spans="1:20" x14ac:dyDescent="0.25">
      <c r="A33" s="1"/>
      <c r="B33" s="1" t="s">
        <v>710</v>
      </c>
      <c r="C33" s="1" t="s">
        <v>28</v>
      </c>
      <c r="D33" s="1" t="s">
        <v>95</v>
      </c>
      <c r="E33" s="1" t="s">
        <v>272</v>
      </c>
      <c r="F33" s="1" t="s">
        <v>29</v>
      </c>
      <c r="G33" s="1" t="s">
        <v>277</v>
      </c>
      <c r="H33" t="s">
        <v>470</v>
      </c>
      <c r="I33" t="s">
        <v>274</v>
      </c>
      <c r="J33" s="1" t="s">
        <v>409</v>
      </c>
      <c r="K33" s="1" t="s">
        <v>95</v>
      </c>
      <c r="L33" t="s">
        <v>95</v>
      </c>
      <c r="M33" s="1" t="s">
        <v>95</v>
      </c>
      <c r="N33" t="s">
        <v>95</v>
      </c>
      <c r="O33" t="s">
        <v>95</v>
      </c>
      <c r="P33" s="1" t="s">
        <v>765</v>
      </c>
      <c r="Q33" t="str">
        <f>CONCATENATE(Tabella5[[#This Row],[PartCode]],"_",Tabella5[[#This Row],[PartRev]])</f>
        <v>B4780_01_NULL_NULL</v>
      </c>
      <c r="S33" t="s">
        <v>276</v>
      </c>
      <c r="T33" t="str">
        <f t="shared" si="0"/>
        <v>B4780_01.jpg</v>
      </c>
    </row>
    <row r="34" spans="1:20" x14ac:dyDescent="0.25">
      <c r="A34" s="1"/>
      <c r="B34" s="1" t="s">
        <v>711</v>
      </c>
      <c r="C34" s="1" t="s">
        <v>28</v>
      </c>
      <c r="D34" s="1" t="s">
        <v>44</v>
      </c>
      <c r="E34" s="1" t="s">
        <v>27</v>
      </c>
      <c r="F34" s="1" t="s">
        <v>29</v>
      </c>
      <c r="G34" s="1" t="s">
        <v>302</v>
      </c>
      <c r="H34" t="s">
        <v>471</v>
      </c>
      <c r="I34" t="s">
        <v>299</v>
      </c>
      <c r="J34" s="1" t="s">
        <v>410</v>
      </c>
      <c r="K34" s="1" t="s">
        <v>95</v>
      </c>
      <c r="L34" t="s">
        <v>95</v>
      </c>
      <c r="M34" s="1" t="s">
        <v>95</v>
      </c>
      <c r="N34" t="s">
        <v>95</v>
      </c>
      <c r="O34" t="s">
        <v>95</v>
      </c>
      <c r="P34" s="1" t="s">
        <v>766</v>
      </c>
      <c r="Q34" t="str">
        <f>CONCATENATE(Tabella5[[#This Row],[PartCode]],"_",Tabella5[[#This Row],[PartRev]])</f>
        <v>B4781_02_A_A</v>
      </c>
      <c r="S34" t="s">
        <v>301</v>
      </c>
      <c r="T34" t="str">
        <f t="shared" si="0"/>
        <v>B4781_02_A.jpg</v>
      </c>
    </row>
    <row r="35" spans="1:20" x14ac:dyDescent="0.25">
      <c r="A35" s="1"/>
      <c r="B35" s="1" t="s">
        <v>712</v>
      </c>
      <c r="C35" s="1" t="s">
        <v>28</v>
      </c>
      <c r="D35" s="1" t="s">
        <v>95</v>
      </c>
      <c r="E35" s="1" t="s">
        <v>272</v>
      </c>
      <c r="F35" s="1" t="s">
        <v>29</v>
      </c>
      <c r="G35" s="1" t="s">
        <v>281</v>
      </c>
      <c r="H35" t="s">
        <v>472</v>
      </c>
      <c r="I35" t="s">
        <v>278</v>
      </c>
      <c r="J35" s="1" t="s">
        <v>411</v>
      </c>
      <c r="K35" s="1" t="s">
        <v>95</v>
      </c>
      <c r="L35" t="s">
        <v>95</v>
      </c>
      <c r="M35" s="1" t="s">
        <v>95</v>
      </c>
      <c r="N35" t="s">
        <v>95</v>
      </c>
      <c r="O35" t="s">
        <v>95</v>
      </c>
      <c r="P35" s="1" t="s">
        <v>767</v>
      </c>
      <c r="Q35" t="str">
        <f>CONCATENATE(Tabella5[[#This Row],[PartCode]],"_",Tabella5[[#This Row],[PartRev]])</f>
        <v>B4781_03_NULL_NULL</v>
      </c>
      <c r="S35" t="s">
        <v>280</v>
      </c>
      <c r="T35" t="str">
        <f t="shared" si="0"/>
        <v>B4781_03.jpg</v>
      </c>
    </row>
    <row r="36" spans="1:20" x14ac:dyDescent="0.25">
      <c r="A36" s="1"/>
      <c r="B36" s="1" t="s">
        <v>713</v>
      </c>
      <c r="C36" s="1" t="s">
        <v>28</v>
      </c>
      <c r="D36" s="1" t="s">
        <v>48</v>
      </c>
      <c r="E36" s="1" t="s">
        <v>27</v>
      </c>
      <c r="F36" s="1" t="s">
        <v>29</v>
      </c>
      <c r="G36" s="1" t="s">
        <v>306</v>
      </c>
      <c r="H36" t="s">
        <v>473</v>
      </c>
      <c r="I36" t="s">
        <v>303</v>
      </c>
      <c r="J36" s="1" t="s">
        <v>412</v>
      </c>
      <c r="K36" s="1" t="s">
        <v>95</v>
      </c>
      <c r="L36" t="s">
        <v>95</v>
      </c>
      <c r="M36" s="1" t="s">
        <v>95</v>
      </c>
      <c r="N36" t="s">
        <v>95</v>
      </c>
      <c r="O36" t="s">
        <v>95</v>
      </c>
      <c r="P36" s="1" t="s">
        <v>768</v>
      </c>
      <c r="Q36" t="str">
        <f>CONCATENATE(Tabella5[[#This Row],[PartCode]],"_",Tabella5[[#This Row],[PartRev]])</f>
        <v>B4782_00_B_B</v>
      </c>
      <c r="S36" t="s">
        <v>305</v>
      </c>
      <c r="T36" t="str">
        <f t="shared" si="0"/>
        <v>B4782_00_B.jpg</v>
      </c>
    </row>
    <row r="37" spans="1:20" x14ac:dyDescent="0.25">
      <c r="A37" s="1"/>
      <c r="B37" s="1" t="s">
        <v>714</v>
      </c>
      <c r="C37" s="1" t="s">
        <v>28</v>
      </c>
      <c r="D37" s="1" t="s">
        <v>95</v>
      </c>
      <c r="E37" s="1" t="s">
        <v>272</v>
      </c>
      <c r="F37" s="1" t="s">
        <v>29</v>
      </c>
      <c r="G37" s="1" t="s">
        <v>285</v>
      </c>
      <c r="H37" t="s">
        <v>474</v>
      </c>
      <c r="I37" t="s">
        <v>282</v>
      </c>
      <c r="J37" s="1" t="s">
        <v>413</v>
      </c>
      <c r="K37" s="1" t="s">
        <v>95</v>
      </c>
      <c r="L37" t="s">
        <v>95</v>
      </c>
      <c r="M37" s="1" t="s">
        <v>95</v>
      </c>
      <c r="N37" t="s">
        <v>95</v>
      </c>
      <c r="O37" t="s">
        <v>95</v>
      </c>
      <c r="P37" s="1" t="s">
        <v>769</v>
      </c>
      <c r="Q37" t="str">
        <f>CONCATENATE(Tabella5[[#This Row],[PartCode]],"_",Tabella5[[#This Row],[PartRev]])</f>
        <v>B4782_01_NULL_NULL</v>
      </c>
      <c r="S37" t="s">
        <v>284</v>
      </c>
      <c r="T37" t="str">
        <f t="shared" si="0"/>
        <v>B4782_01.jpg</v>
      </c>
    </row>
    <row r="38" spans="1:20" x14ac:dyDescent="0.25">
      <c r="A38" s="1"/>
      <c r="B38" s="1" t="s">
        <v>715</v>
      </c>
      <c r="C38" s="1" t="s">
        <v>28</v>
      </c>
      <c r="D38" s="1" t="s">
        <v>40</v>
      </c>
      <c r="E38" s="1" t="s">
        <v>27</v>
      </c>
      <c r="F38" s="1" t="s">
        <v>29</v>
      </c>
      <c r="G38" s="1" t="s">
        <v>310</v>
      </c>
      <c r="H38" t="s">
        <v>475</v>
      </c>
      <c r="I38" t="s">
        <v>307</v>
      </c>
      <c r="J38" s="1" t="s">
        <v>414</v>
      </c>
      <c r="K38" s="1" t="s">
        <v>95</v>
      </c>
      <c r="L38" t="s">
        <v>95</v>
      </c>
      <c r="M38" s="1" t="s">
        <v>95</v>
      </c>
      <c r="N38" t="s">
        <v>95</v>
      </c>
      <c r="O38" t="s">
        <v>95</v>
      </c>
      <c r="P38" s="1" t="s">
        <v>770</v>
      </c>
      <c r="Q38" t="str">
        <f>CONCATENATE(Tabella5[[#This Row],[PartCode]],"_",Tabella5[[#This Row],[PartRev]])</f>
        <v>B4783_00_C_C</v>
      </c>
      <c r="S38" t="s">
        <v>309</v>
      </c>
      <c r="T38" t="str">
        <f t="shared" si="0"/>
        <v>B4783_00_C.jpg</v>
      </c>
    </row>
    <row r="39" spans="1:20" x14ac:dyDescent="0.25">
      <c r="A39" s="1"/>
      <c r="B39" s="1" t="s">
        <v>716</v>
      </c>
      <c r="C39" s="1" t="s">
        <v>28</v>
      </c>
      <c r="D39" s="1" t="s">
        <v>95</v>
      </c>
      <c r="E39" s="1" t="s">
        <v>272</v>
      </c>
      <c r="F39" s="1" t="s">
        <v>29</v>
      </c>
      <c r="G39" s="1" t="s">
        <v>289</v>
      </c>
      <c r="H39" t="s">
        <v>476</v>
      </c>
      <c r="I39" t="s">
        <v>286</v>
      </c>
      <c r="J39" s="1" t="s">
        <v>415</v>
      </c>
      <c r="K39" s="1" t="s">
        <v>95</v>
      </c>
      <c r="L39" t="s">
        <v>95</v>
      </c>
      <c r="M39" s="1" t="s">
        <v>95</v>
      </c>
      <c r="N39" t="s">
        <v>95</v>
      </c>
      <c r="O39" t="s">
        <v>95</v>
      </c>
      <c r="P39" s="1" t="s">
        <v>771</v>
      </c>
      <c r="Q39" t="str">
        <f>CONCATENATE(Tabella5[[#This Row],[PartCode]],"_",Tabella5[[#This Row],[PartRev]])</f>
        <v>B4783_01_NULL_NULL</v>
      </c>
      <c r="S39" t="s">
        <v>288</v>
      </c>
      <c r="T39" t="str">
        <f t="shared" si="0"/>
        <v>B4783_01.jpg</v>
      </c>
    </row>
    <row r="40" spans="1:20" x14ac:dyDescent="0.25">
      <c r="A40" s="1"/>
      <c r="B40" s="1" t="s">
        <v>630</v>
      </c>
      <c r="C40" s="1" t="s">
        <v>28</v>
      </c>
      <c r="D40" s="1" t="s">
        <v>48</v>
      </c>
      <c r="E40" s="1" t="s">
        <v>27</v>
      </c>
      <c r="F40" s="1" t="s">
        <v>29</v>
      </c>
      <c r="G40" s="1" t="s">
        <v>95</v>
      </c>
      <c r="H40" t="s">
        <v>95</v>
      </c>
      <c r="I40" t="s">
        <v>139</v>
      </c>
      <c r="J40" s="1" t="s">
        <v>416</v>
      </c>
      <c r="K40" s="1" t="s">
        <v>95</v>
      </c>
      <c r="L40" t="s">
        <v>95</v>
      </c>
      <c r="M40" s="1" t="s">
        <v>95</v>
      </c>
      <c r="N40" t="s">
        <v>95</v>
      </c>
      <c r="O40" t="s">
        <v>95</v>
      </c>
      <c r="P40" s="1" t="s">
        <v>772</v>
      </c>
      <c r="Q40" t="str">
        <f>CONCATENATE(Tabella5[[#This Row],[PartCode]],"_",Tabella5[[#This Row],[PartRev]])</f>
        <v>B5264.00_B_B</v>
      </c>
      <c r="S40" t="s">
        <v>141</v>
      </c>
      <c r="T40" t="str">
        <f t="shared" si="0"/>
        <v>B5264_00_B.jpg</v>
      </c>
    </row>
    <row r="41" spans="1:20" x14ac:dyDescent="0.25">
      <c r="A41" s="1"/>
      <c r="B41" s="1" t="s">
        <v>631</v>
      </c>
      <c r="C41" s="1" t="s">
        <v>28</v>
      </c>
      <c r="D41" s="1" t="s">
        <v>48</v>
      </c>
      <c r="E41" s="1" t="s">
        <v>27</v>
      </c>
      <c r="F41" s="1" t="s">
        <v>29</v>
      </c>
      <c r="G41" s="1" t="s">
        <v>95</v>
      </c>
      <c r="H41" t="s">
        <v>95</v>
      </c>
      <c r="I41" t="s">
        <v>142</v>
      </c>
      <c r="J41" s="1" t="s">
        <v>417</v>
      </c>
      <c r="K41" s="1" t="s">
        <v>95</v>
      </c>
      <c r="L41" t="s">
        <v>95</v>
      </c>
      <c r="M41" s="1" t="s">
        <v>95</v>
      </c>
      <c r="N41" t="s">
        <v>95</v>
      </c>
      <c r="O41" t="s">
        <v>95</v>
      </c>
      <c r="P41" s="1" t="s">
        <v>773</v>
      </c>
      <c r="Q41" t="str">
        <f>CONCATENATE(Tabella5[[#This Row],[PartCode]],"_",Tabella5[[#This Row],[PartRev]])</f>
        <v>B5265.00_B_B</v>
      </c>
      <c r="S41" t="s">
        <v>144</v>
      </c>
      <c r="T41" t="str">
        <f t="shared" si="0"/>
        <v>B5265_00_B.jpg</v>
      </c>
    </row>
    <row r="42" spans="1:20" x14ac:dyDescent="0.25">
      <c r="A42" s="1"/>
      <c r="B42" s="1" t="s">
        <v>632</v>
      </c>
      <c r="C42" s="1" t="s">
        <v>28</v>
      </c>
      <c r="D42" s="1" t="s">
        <v>44</v>
      </c>
      <c r="E42" s="1" t="s">
        <v>27</v>
      </c>
      <c r="F42" s="1" t="s">
        <v>29</v>
      </c>
      <c r="G42" s="1" t="s">
        <v>95</v>
      </c>
      <c r="H42" t="s">
        <v>95</v>
      </c>
      <c r="I42" t="s">
        <v>145</v>
      </c>
      <c r="J42" s="1" t="s">
        <v>418</v>
      </c>
      <c r="K42" s="1" t="s">
        <v>95</v>
      </c>
      <c r="L42" t="s">
        <v>95</v>
      </c>
      <c r="M42" s="1" t="s">
        <v>95</v>
      </c>
      <c r="N42" t="s">
        <v>95</v>
      </c>
      <c r="O42" t="s">
        <v>95</v>
      </c>
      <c r="P42" s="1" t="s">
        <v>774</v>
      </c>
      <c r="Q42" t="str">
        <f>CONCATENATE(Tabella5[[#This Row],[PartCode]],"_",Tabella5[[#This Row],[PartRev]])</f>
        <v>B5475.00_A_A</v>
      </c>
      <c r="S42" t="s">
        <v>147</v>
      </c>
      <c r="T42" t="str">
        <f t="shared" si="0"/>
        <v>B5475_00_A.jpg</v>
      </c>
    </row>
    <row r="43" spans="1:20" x14ac:dyDescent="0.25">
      <c r="A43" s="1"/>
      <c r="B43" s="1" t="s">
        <v>633</v>
      </c>
      <c r="C43" s="1" t="s">
        <v>28</v>
      </c>
      <c r="D43" s="1" t="s">
        <v>44</v>
      </c>
      <c r="E43" s="1" t="s">
        <v>27</v>
      </c>
      <c r="F43" s="1" t="s">
        <v>29</v>
      </c>
      <c r="G43" s="1" t="s">
        <v>95</v>
      </c>
      <c r="H43" t="s">
        <v>95</v>
      </c>
      <c r="I43" t="s">
        <v>148</v>
      </c>
      <c r="J43" s="1" t="s">
        <v>419</v>
      </c>
      <c r="K43" s="1" t="s">
        <v>95</v>
      </c>
      <c r="L43" t="s">
        <v>95</v>
      </c>
      <c r="M43" s="1" t="s">
        <v>95</v>
      </c>
      <c r="N43" t="s">
        <v>95</v>
      </c>
      <c r="O43" t="s">
        <v>95</v>
      </c>
      <c r="P43" s="1" t="s">
        <v>775</v>
      </c>
      <c r="Q43" t="str">
        <f>CONCATENATE(Tabella5[[#This Row],[PartCode]],"_",Tabella5[[#This Row],[PartRev]])</f>
        <v>B5478.00_A_A</v>
      </c>
      <c r="S43" t="s">
        <v>150</v>
      </c>
      <c r="T43" t="str">
        <f t="shared" si="0"/>
        <v>B5478_00_A.jpg</v>
      </c>
    </row>
    <row r="44" spans="1:20" x14ac:dyDescent="0.25">
      <c r="A44" s="1"/>
      <c r="B44" s="1" t="s">
        <v>634</v>
      </c>
      <c r="C44" s="1" t="s">
        <v>28</v>
      </c>
      <c r="D44" s="1" t="s">
        <v>44</v>
      </c>
      <c r="E44" s="1" t="s">
        <v>27</v>
      </c>
      <c r="F44" s="1" t="s">
        <v>29</v>
      </c>
      <c r="G44" s="1" t="s">
        <v>95</v>
      </c>
      <c r="H44" t="s">
        <v>95</v>
      </c>
      <c r="I44" t="s">
        <v>151</v>
      </c>
      <c r="J44" s="1" t="s">
        <v>420</v>
      </c>
      <c r="K44" s="1" t="s">
        <v>95</v>
      </c>
      <c r="L44" t="s">
        <v>95</v>
      </c>
      <c r="M44" s="1" t="s">
        <v>95</v>
      </c>
      <c r="N44" t="s">
        <v>95</v>
      </c>
      <c r="O44" t="s">
        <v>95</v>
      </c>
      <c r="P44" s="1" t="s">
        <v>776</v>
      </c>
      <c r="Q44" t="str">
        <f>CONCATENATE(Tabella5[[#This Row],[PartCode]],"_",Tabella5[[#This Row],[PartRev]])</f>
        <v>B5481.00_A_A</v>
      </c>
      <c r="S44" t="s">
        <v>153</v>
      </c>
      <c r="T44" t="str">
        <f t="shared" si="0"/>
        <v>B5481_00_A.jpg</v>
      </c>
    </row>
    <row r="45" spans="1:20" x14ac:dyDescent="0.25">
      <c r="A45" s="1"/>
      <c r="B45" s="1" t="s">
        <v>717</v>
      </c>
      <c r="C45" s="1" t="s">
        <v>28</v>
      </c>
      <c r="D45" s="1" t="s">
        <v>95</v>
      </c>
      <c r="E45" s="1" t="s">
        <v>27</v>
      </c>
      <c r="F45" s="1" t="s">
        <v>29</v>
      </c>
      <c r="G45" s="1" t="s">
        <v>95</v>
      </c>
      <c r="H45" t="s">
        <v>95</v>
      </c>
      <c r="I45" t="s">
        <v>154</v>
      </c>
      <c r="J45" s="1" t="s">
        <v>421</v>
      </c>
      <c r="K45" s="1" t="s">
        <v>95</v>
      </c>
      <c r="L45" t="s">
        <v>95</v>
      </c>
      <c r="M45" s="1" t="s">
        <v>95</v>
      </c>
      <c r="N45" t="s">
        <v>95</v>
      </c>
      <c r="O45" t="s">
        <v>95</v>
      </c>
      <c r="P45" s="1" t="s">
        <v>777</v>
      </c>
      <c r="Q45" t="str">
        <f>CONCATENATE(Tabella5[[#This Row],[PartCode]],"_",Tabella5[[#This Row],[PartRev]])</f>
        <v>B5767.03_NULL_NULL</v>
      </c>
      <c r="S45" t="s">
        <v>156</v>
      </c>
      <c r="T45" t="str">
        <f t="shared" si="0"/>
        <v>B5767_03.jpg</v>
      </c>
    </row>
    <row r="46" spans="1:20" x14ac:dyDescent="0.25">
      <c r="A46" s="1"/>
      <c r="B46" s="1" t="s">
        <v>718</v>
      </c>
      <c r="C46" s="1" t="s">
        <v>28</v>
      </c>
      <c r="D46" s="1" t="s">
        <v>95</v>
      </c>
      <c r="E46" s="1" t="s">
        <v>27</v>
      </c>
      <c r="F46" s="1" t="s">
        <v>29</v>
      </c>
      <c r="G46" s="1" t="s">
        <v>95</v>
      </c>
      <c r="H46" t="s">
        <v>95</v>
      </c>
      <c r="I46" t="s">
        <v>157</v>
      </c>
      <c r="J46" s="1" t="s">
        <v>422</v>
      </c>
      <c r="K46" s="1" t="s">
        <v>95</v>
      </c>
      <c r="L46" t="s">
        <v>95</v>
      </c>
      <c r="M46" s="1" t="s">
        <v>95</v>
      </c>
      <c r="N46" t="s">
        <v>95</v>
      </c>
      <c r="O46" t="s">
        <v>95</v>
      </c>
      <c r="P46" s="1" t="s">
        <v>778</v>
      </c>
      <c r="Q46" t="str">
        <f>CONCATENATE(Tabella5[[#This Row],[PartCode]],"_",Tabella5[[#This Row],[PartRev]])</f>
        <v>B5768.02_NULL_NULL</v>
      </c>
      <c r="S46" t="s">
        <v>159</v>
      </c>
      <c r="T46" t="str">
        <f t="shared" si="0"/>
        <v>B5768_02.jpg</v>
      </c>
    </row>
    <row r="47" spans="1:20" x14ac:dyDescent="0.25">
      <c r="A47" s="1"/>
      <c r="B47" s="1" t="s">
        <v>635</v>
      </c>
      <c r="C47" s="1" t="s">
        <v>28</v>
      </c>
      <c r="D47" s="1" t="s">
        <v>48</v>
      </c>
      <c r="E47" s="1" t="s">
        <v>27</v>
      </c>
      <c r="F47" s="1" t="s">
        <v>29</v>
      </c>
      <c r="G47" s="1" t="s">
        <v>95</v>
      </c>
      <c r="H47" t="s">
        <v>95</v>
      </c>
      <c r="I47" t="s">
        <v>160</v>
      </c>
      <c r="J47" s="1" t="s">
        <v>423</v>
      </c>
      <c r="K47" s="1" t="s">
        <v>95</v>
      </c>
      <c r="L47" t="s">
        <v>95</v>
      </c>
      <c r="M47" s="1" t="s">
        <v>95</v>
      </c>
      <c r="N47" t="s">
        <v>95</v>
      </c>
      <c r="O47" t="s">
        <v>95</v>
      </c>
      <c r="P47" s="1" t="s">
        <v>779</v>
      </c>
      <c r="Q47" t="str">
        <f>CONCATENATE(Tabella5[[#This Row],[PartCode]],"_",Tabella5[[#This Row],[PartRev]])</f>
        <v>B5769.02_B_B</v>
      </c>
      <c r="S47" t="s">
        <v>162</v>
      </c>
      <c r="T47" t="str">
        <f t="shared" si="0"/>
        <v>B5769_02_B.jpg</v>
      </c>
    </row>
    <row r="48" spans="1:20" x14ac:dyDescent="0.25">
      <c r="A48" s="1"/>
      <c r="B48" s="1" t="s">
        <v>636</v>
      </c>
      <c r="C48" s="1" t="s">
        <v>28</v>
      </c>
      <c r="D48" s="1" t="s">
        <v>44</v>
      </c>
      <c r="E48" s="1" t="s">
        <v>27</v>
      </c>
      <c r="F48" s="1" t="s">
        <v>29</v>
      </c>
      <c r="G48" s="1" t="s">
        <v>95</v>
      </c>
      <c r="H48" t="s">
        <v>95</v>
      </c>
      <c r="I48" t="s">
        <v>163</v>
      </c>
      <c r="J48" s="1" t="s">
        <v>424</v>
      </c>
      <c r="K48" s="1" t="s">
        <v>95</v>
      </c>
      <c r="L48" t="s">
        <v>95</v>
      </c>
      <c r="M48" s="1" t="s">
        <v>95</v>
      </c>
      <c r="N48" t="s">
        <v>95</v>
      </c>
      <c r="O48" t="s">
        <v>95</v>
      </c>
      <c r="P48" s="1" t="s">
        <v>780</v>
      </c>
      <c r="Q48" t="str">
        <f>CONCATENATE(Tabella5[[#This Row],[PartCode]],"_",Tabella5[[#This Row],[PartRev]])</f>
        <v>B5770.02_A_A</v>
      </c>
      <c r="S48" t="s">
        <v>165</v>
      </c>
      <c r="T48" t="str">
        <f t="shared" si="0"/>
        <v>B5770_02_A.jpg</v>
      </c>
    </row>
    <row r="49" spans="1:20" x14ac:dyDescent="0.25">
      <c r="A49" s="1"/>
      <c r="B49" s="1" t="s">
        <v>637</v>
      </c>
      <c r="C49" s="1" t="s">
        <v>28</v>
      </c>
      <c r="D49" s="1" t="s">
        <v>44</v>
      </c>
      <c r="E49" s="1" t="s">
        <v>27</v>
      </c>
      <c r="F49" s="1" t="s">
        <v>29</v>
      </c>
      <c r="G49" s="1" t="s">
        <v>95</v>
      </c>
      <c r="H49" t="s">
        <v>95</v>
      </c>
      <c r="I49" t="s">
        <v>166</v>
      </c>
      <c r="J49" s="1" t="s">
        <v>425</v>
      </c>
      <c r="K49" s="1" t="s">
        <v>95</v>
      </c>
      <c r="L49" t="s">
        <v>95</v>
      </c>
      <c r="M49" s="1" t="s">
        <v>95</v>
      </c>
      <c r="N49" t="s">
        <v>95</v>
      </c>
      <c r="O49" t="s">
        <v>95</v>
      </c>
      <c r="P49" s="1" t="s">
        <v>781</v>
      </c>
      <c r="Q49" t="str">
        <f>CONCATENATE(Tabella5[[#This Row],[PartCode]],"_",Tabella5[[#This Row],[PartRev]])</f>
        <v>B5771.01_A_A</v>
      </c>
      <c r="S49" t="s">
        <v>168</v>
      </c>
      <c r="T49" t="str">
        <f t="shared" si="0"/>
        <v>B5771_01_A.jpg</v>
      </c>
    </row>
    <row r="50" spans="1:20" x14ac:dyDescent="0.25">
      <c r="A50" s="1"/>
      <c r="B50" s="1" t="s">
        <v>638</v>
      </c>
      <c r="C50" s="1" t="s">
        <v>28</v>
      </c>
      <c r="D50" s="1" t="s">
        <v>44</v>
      </c>
      <c r="E50" s="1" t="s">
        <v>27</v>
      </c>
      <c r="F50" s="1" t="s">
        <v>29</v>
      </c>
      <c r="G50" s="1" t="s">
        <v>95</v>
      </c>
      <c r="H50" t="s">
        <v>95</v>
      </c>
      <c r="I50" t="s">
        <v>169</v>
      </c>
      <c r="J50" s="1" t="s">
        <v>426</v>
      </c>
      <c r="K50" s="1" t="s">
        <v>95</v>
      </c>
      <c r="L50" t="s">
        <v>95</v>
      </c>
      <c r="M50" s="1" t="s">
        <v>95</v>
      </c>
      <c r="N50" t="s">
        <v>95</v>
      </c>
      <c r="O50" t="s">
        <v>95</v>
      </c>
      <c r="P50" s="1" t="s">
        <v>782</v>
      </c>
      <c r="Q50" t="str">
        <f>CONCATENATE(Tabella5[[#This Row],[PartCode]],"_",Tabella5[[#This Row],[PartRev]])</f>
        <v>B5772.01_A_A</v>
      </c>
      <c r="S50" t="s">
        <v>171</v>
      </c>
      <c r="T50" t="str">
        <f t="shared" si="0"/>
        <v>B5772_01_A.jpg</v>
      </c>
    </row>
    <row r="51" spans="1:20" x14ac:dyDescent="0.25">
      <c r="A51" s="1"/>
      <c r="B51" s="1" t="s">
        <v>639</v>
      </c>
      <c r="C51" s="1" t="s">
        <v>28</v>
      </c>
      <c r="D51" s="1" t="s">
        <v>44</v>
      </c>
      <c r="E51" s="1" t="s">
        <v>27</v>
      </c>
      <c r="F51" s="1" t="s">
        <v>29</v>
      </c>
      <c r="G51" s="1" t="s">
        <v>95</v>
      </c>
      <c r="H51" t="s">
        <v>95</v>
      </c>
      <c r="I51" t="s">
        <v>172</v>
      </c>
      <c r="J51" s="1" t="s">
        <v>427</v>
      </c>
      <c r="K51" s="1" t="s">
        <v>95</v>
      </c>
      <c r="L51" t="s">
        <v>95</v>
      </c>
      <c r="M51" s="1" t="s">
        <v>95</v>
      </c>
      <c r="N51" t="s">
        <v>95</v>
      </c>
      <c r="O51" t="s">
        <v>95</v>
      </c>
      <c r="P51" s="1" t="s">
        <v>783</v>
      </c>
      <c r="Q51" t="str">
        <f>CONCATENATE(Tabella5[[#This Row],[PartCode]],"_",Tabella5[[#This Row],[PartRev]])</f>
        <v>B5773.00_A_A</v>
      </c>
      <c r="S51" t="s">
        <v>174</v>
      </c>
      <c r="T51" t="str">
        <f t="shared" si="0"/>
        <v>B5773_00_A.jpg</v>
      </c>
    </row>
    <row r="52" spans="1:20" x14ac:dyDescent="0.25">
      <c r="A52" s="1"/>
      <c r="B52" s="1" t="s">
        <v>719</v>
      </c>
      <c r="C52" s="1" t="s">
        <v>28</v>
      </c>
      <c r="D52" s="1" t="s">
        <v>95</v>
      </c>
      <c r="E52" s="1" t="s">
        <v>27</v>
      </c>
      <c r="F52" s="1" t="s">
        <v>29</v>
      </c>
      <c r="G52" s="1" t="s">
        <v>95</v>
      </c>
      <c r="H52" t="s">
        <v>95</v>
      </c>
      <c r="I52" t="s">
        <v>175</v>
      </c>
      <c r="J52" s="1" t="s">
        <v>428</v>
      </c>
      <c r="K52" s="1" t="s">
        <v>95</v>
      </c>
      <c r="L52" t="s">
        <v>95</v>
      </c>
      <c r="M52" s="1" t="s">
        <v>95</v>
      </c>
      <c r="N52" t="s">
        <v>95</v>
      </c>
      <c r="O52" t="s">
        <v>95</v>
      </c>
      <c r="P52" s="1" t="s">
        <v>784</v>
      </c>
      <c r="Q52" t="str">
        <f>CONCATENATE(Tabella5[[#This Row],[PartCode]],"_",Tabella5[[#This Row],[PartRev]])</f>
        <v>B5773.01_NULL_NULL</v>
      </c>
      <c r="S52" t="s">
        <v>177</v>
      </c>
      <c r="T52" t="str">
        <f t="shared" si="0"/>
        <v>B5773_01.jpg</v>
      </c>
    </row>
    <row r="53" spans="1:20" x14ac:dyDescent="0.25">
      <c r="A53" s="1"/>
      <c r="B53" s="1" t="s">
        <v>640</v>
      </c>
      <c r="C53" s="1" t="s">
        <v>28</v>
      </c>
      <c r="D53" s="1" t="s">
        <v>44</v>
      </c>
      <c r="E53" s="1" t="s">
        <v>27</v>
      </c>
      <c r="F53" s="1" t="s">
        <v>29</v>
      </c>
      <c r="G53" s="1" t="s">
        <v>95</v>
      </c>
      <c r="H53" t="s">
        <v>95</v>
      </c>
      <c r="I53" t="s">
        <v>178</v>
      </c>
      <c r="J53" s="1" t="s">
        <v>429</v>
      </c>
      <c r="K53" s="1" t="s">
        <v>95</v>
      </c>
      <c r="L53" t="s">
        <v>95</v>
      </c>
      <c r="M53" s="1" t="s">
        <v>95</v>
      </c>
      <c r="N53" t="s">
        <v>95</v>
      </c>
      <c r="O53" t="s">
        <v>95</v>
      </c>
      <c r="P53" s="1" t="s">
        <v>785</v>
      </c>
      <c r="Q53" t="str">
        <f>CONCATENATE(Tabella5[[#This Row],[PartCode]],"_",Tabella5[[#This Row],[PartRev]])</f>
        <v>B5774.00_A_A</v>
      </c>
      <c r="S53" t="s">
        <v>180</v>
      </c>
      <c r="T53" t="str">
        <f t="shared" si="0"/>
        <v>B5774_00_A.jpg</v>
      </c>
    </row>
    <row r="54" spans="1:20" x14ac:dyDescent="0.25">
      <c r="A54" s="1"/>
      <c r="B54" s="1" t="s">
        <v>720</v>
      </c>
      <c r="C54" s="1" t="s">
        <v>28</v>
      </c>
      <c r="D54" s="1" t="s">
        <v>95</v>
      </c>
      <c r="E54" s="1" t="s">
        <v>27</v>
      </c>
      <c r="F54" s="1" t="s">
        <v>29</v>
      </c>
      <c r="G54" s="1" t="s">
        <v>95</v>
      </c>
      <c r="H54" t="s">
        <v>95</v>
      </c>
      <c r="I54" t="s">
        <v>181</v>
      </c>
      <c r="J54" s="1" t="s">
        <v>430</v>
      </c>
      <c r="K54" s="1" t="s">
        <v>95</v>
      </c>
      <c r="L54" t="s">
        <v>95</v>
      </c>
      <c r="M54" s="1" t="s">
        <v>95</v>
      </c>
      <c r="N54" t="s">
        <v>95</v>
      </c>
      <c r="O54" t="s">
        <v>95</v>
      </c>
      <c r="P54" s="1" t="s">
        <v>786</v>
      </c>
      <c r="Q54" t="str">
        <f>CONCATENATE(Tabella5[[#This Row],[PartCode]],"_",Tabella5[[#This Row],[PartRev]])</f>
        <v>B5774.02_NULL_NULL</v>
      </c>
      <c r="S54" t="s">
        <v>183</v>
      </c>
      <c r="T54" t="str">
        <f t="shared" si="0"/>
        <v>B5774_02.jpg</v>
      </c>
    </row>
    <row r="55" spans="1:20" x14ac:dyDescent="0.25">
      <c r="A55" s="1"/>
      <c r="B55" s="1" t="s">
        <v>641</v>
      </c>
      <c r="C55" s="1" t="s">
        <v>28</v>
      </c>
      <c r="D55" s="1" t="s">
        <v>44</v>
      </c>
      <c r="E55" s="1" t="s">
        <v>27</v>
      </c>
      <c r="F55" s="1" t="s">
        <v>29</v>
      </c>
      <c r="G55" s="1" t="s">
        <v>95</v>
      </c>
      <c r="H55" t="s">
        <v>95</v>
      </c>
      <c r="I55" t="s">
        <v>184</v>
      </c>
      <c r="J55" s="1" t="s">
        <v>431</v>
      </c>
      <c r="K55" s="1" t="s">
        <v>95</v>
      </c>
      <c r="L55" t="s">
        <v>95</v>
      </c>
      <c r="M55" s="1" t="s">
        <v>95</v>
      </c>
      <c r="N55" t="s">
        <v>95</v>
      </c>
      <c r="O55" t="s">
        <v>95</v>
      </c>
      <c r="P55" s="1" t="s">
        <v>787</v>
      </c>
      <c r="Q55" t="str">
        <f>CONCATENATE(Tabella5[[#This Row],[PartCode]],"_",Tabella5[[#This Row],[PartRev]])</f>
        <v>B5775.03_A_A</v>
      </c>
      <c r="S55" t="s">
        <v>186</v>
      </c>
      <c r="T55" t="str">
        <f t="shared" si="0"/>
        <v>B5775_03_A.jpg</v>
      </c>
    </row>
    <row r="56" spans="1:20" x14ac:dyDescent="0.25">
      <c r="A56" s="1"/>
      <c r="B56" s="1" t="s">
        <v>642</v>
      </c>
      <c r="C56" s="1" t="s">
        <v>28</v>
      </c>
      <c r="D56" s="1" t="s">
        <v>134</v>
      </c>
      <c r="E56" s="1" t="s">
        <v>27</v>
      </c>
      <c r="F56" s="1" t="s">
        <v>29</v>
      </c>
      <c r="G56" s="1" t="s">
        <v>95</v>
      </c>
      <c r="H56" t="s">
        <v>95</v>
      </c>
      <c r="I56" t="s">
        <v>187</v>
      </c>
      <c r="J56" s="1" t="s">
        <v>432</v>
      </c>
      <c r="K56" s="1" t="s">
        <v>95</v>
      </c>
      <c r="L56" t="s">
        <v>95</v>
      </c>
      <c r="M56" s="1" t="s">
        <v>95</v>
      </c>
      <c r="N56" t="s">
        <v>95</v>
      </c>
      <c r="O56" t="s">
        <v>95</v>
      </c>
      <c r="P56" s="1" t="s">
        <v>788</v>
      </c>
      <c r="Q56" t="str">
        <f>CONCATENATE(Tabella5[[#This Row],[PartCode]],"_",Tabella5[[#This Row],[PartRev]])</f>
        <v>B5779.00_D_D</v>
      </c>
      <c r="S56" t="s">
        <v>189</v>
      </c>
      <c r="T56" t="str">
        <f t="shared" si="0"/>
        <v>B5779_00_D.jpg</v>
      </c>
    </row>
    <row r="57" spans="1:20" x14ac:dyDescent="0.25">
      <c r="A57" s="1"/>
      <c r="B57" s="1" t="s">
        <v>643</v>
      </c>
      <c r="C57" s="1" t="s">
        <v>28</v>
      </c>
      <c r="D57" s="1" t="s">
        <v>48</v>
      </c>
      <c r="E57" s="1" t="s">
        <v>27</v>
      </c>
      <c r="F57" s="1" t="s">
        <v>29</v>
      </c>
      <c r="G57" s="1" t="s">
        <v>95</v>
      </c>
      <c r="H57" t="s">
        <v>95</v>
      </c>
      <c r="I57" t="s">
        <v>190</v>
      </c>
      <c r="J57" s="1" t="s">
        <v>433</v>
      </c>
      <c r="K57" s="1" t="s">
        <v>95</v>
      </c>
      <c r="L57" t="s">
        <v>95</v>
      </c>
      <c r="M57" s="1" t="s">
        <v>95</v>
      </c>
      <c r="N57" t="s">
        <v>95</v>
      </c>
      <c r="O57" t="s">
        <v>95</v>
      </c>
      <c r="P57" s="1" t="s">
        <v>789</v>
      </c>
      <c r="Q57" t="str">
        <f>CONCATENATE(Tabella5[[#This Row],[PartCode]],"_",Tabella5[[#This Row],[PartRev]])</f>
        <v>B5780.00_B_B</v>
      </c>
      <c r="S57" t="s">
        <v>192</v>
      </c>
      <c r="T57" t="str">
        <f t="shared" si="0"/>
        <v>B5780_00_B.jpg</v>
      </c>
    </row>
    <row r="58" spans="1:20" x14ac:dyDescent="0.25">
      <c r="A58" s="1"/>
      <c r="B58" s="1" t="s">
        <v>644</v>
      </c>
      <c r="C58" s="1" t="s">
        <v>28</v>
      </c>
      <c r="D58" s="1" t="s">
        <v>134</v>
      </c>
      <c r="E58" s="1" t="s">
        <v>27</v>
      </c>
      <c r="F58" s="1" t="s">
        <v>29</v>
      </c>
      <c r="G58" s="1" t="s">
        <v>95</v>
      </c>
      <c r="H58" t="s">
        <v>95</v>
      </c>
      <c r="I58" t="s">
        <v>193</v>
      </c>
      <c r="J58" s="1" t="s">
        <v>434</v>
      </c>
      <c r="K58" s="1" t="s">
        <v>95</v>
      </c>
      <c r="L58" t="s">
        <v>95</v>
      </c>
      <c r="M58" s="1" t="s">
        <v>95</v>
      </c>
      <c r="N58" t="s">
        <v>95</v>
      </c>
      <c r="O58" t="s">
        <v>95</v>
      </c>
      <c r="P58" s="1" t="s">
        <v>790</v>
      </c>
      <c r="Q58" t="str">
        <f>CONCATENATE(Tabella5[[#This Row],[PartCode]],"_",Tabella5[[#This Row],[PartRev]])</f>
        <v>B5784.00_D_D</v>
      </c>
      <c r="S58" t="s">
        <v>195</v>
      </c>
      <c r="T58" t="str">
        <f t="shared" si="0"/>
        <v>B5784_00_D.jpg</v>
      </c>
    </row>
    <row r="59" spans="1:20" x14ac:dyDescent="0.25">
      <c r="A59" s="1"/>
      <c r="B59" s="1" t="s">
        <v>645</v>
      </c>
      <c r="C59" s="1" t="s">
        <v>28</v>
      </c>
      <c r="D59" s="1" t="s">
        <v>48</v>
      </c>
      <c r="E59" s="1" t="s">
        <v>27</v>
      </c>
      <c r="F59" s="1" t="s">
        <v>29</v>
      </c>
      <c r="G59" s="1" t="s">
        <v>95</v>
      </c>
      <c r="H59" t="s">
        <v>95</v>
      </c>
      <c r="I59" t="s">
        <v>196</v>
      </c>
      <c r="J59" s="1" t="s">
        <v>435</v>
      </c>
      <c r="K59" s="1" t="s">
        <v>95</v>
      </c>
      <c r="L59" t="s">
        <v>95</v>
      </c>
      <c r="M59" s="1" t="s">
        <v>95</v>
      </c>
      <c r="N59" t="s">
        <v>95</v>
      </c>
      <c r="O59" t="s">
        <v>95</v>
      </c>
      <c r="P59" s="1" t="s">
        <v>791</v>
      </c>
      <c r="Q59" t="str">
        <f>CONCATENATE(Tabella5[[#This Row],[PartCode]],"_",Tabella5[[#This Row],[PartRev]])</f>
        <v>B5829.01_B_B</v>
      </c>
      <c r="S59" t="s">
        <v>198</v>
      </c>
      <c r="T59" t="str">
        <f t="shared" si="0"/>
        <v>B5829_01_B.jpg</v>
      </c>
    </row>
    <row r="60" spans="1:20" x14ac:dyDescent="0.25">
      <c r="A60" s="1"/>
      <c r="B60" s="1" t="s">
        <v>646</v>
      </c>
      <c r="C60" s="1" t="s">
        <v>28</v>
      </c>
      <c r="D60" s="1" t="s">
        <v>44</v>
      </c>
      <c r="E60" s="1" t="s">
        <v>27</v>
      </c>
      <c r="F60" s="1" t="s">
        <v>29</v>
      </c>
      <c r="G60" s="1" t="s">
        <v>95</v>
      </c>
      <c r="H60" t="s">
        <v>95</v>
      </c>
      <c r="I60" t="s">
        <v>199</v>
      </c>
      <c r="J60" s="1" t="s">
        <v>436</v>
      </c>
      <c r="K60" s="1" t="s">
        <v>95</v>
      </c>
      <c r="L60" t="s">
        <v>95</v>
      </c>
      <c r="M60" s="1" t="s">
        <v>95</v>
      </c>
      <c r="N60" t="s">
        <v>95</v>
      </c>
      <c r="O60" t="s">
        <v>95</v>
      </c>
      <c r="P60" s="1" t="s">
        <v>792</v>
      </c>
      <c r="Q60" t="str">
        <f>CONCATENATE(Tabella5[[#This Row],[PartCode]],"_",Tabella5[[#This Row],[PartRev]])</f>
        <v>B5847.00_A_A</v>
      </c>
      <c r="S60" t="s">
        <v>201</v>
      </c>
      <c r="T60" t="str">
        <f t="shared" si="0"/>
        <v>B5847_00_A.jpg</v>
      </c>
    </row>
    <row r="61" spans="1:20" x14ac:dyDescent="0.25">
      <c r="A61" s="1"/>
      <c r="B61" s="1" t="s">
        <v>647</v>
      </c>
      <c r="C61" s="1" t="s">
        <v>28</v>
      </c>
      <c r="D61" s="1" t="s">
        <v>44</v>
      </c>
      <c r="E61" s="1" t="s">
        <v>27</v>
      </c>
      <c r="F61" s="1" t="s">
        <v>29</v>
      </c>
      <c r="G61" s="1" t="s">
        <v>95</v>
      </c>
      <c r="H61" t="s">
        <v>95</v>
      </c>
      <c r="I61" t="s">
        <v>202</v>
      </c>
      <c r="J61" s="1" t="s">
        <v>437</v>
      </c>
      <c r="K61" s="1" t="s">
        <v>95</v>
      </c>
      <c r="L61" t="s">
        <v>95</v>
      </c>
      <c r="M61" s="1" t="s">
        <v>95</v>
      </c>
      <c r="N61" t="s">
        <v>95</v>
      </c>
      <c r="O61" t="s">
        <v>95</v>
      </c>
      <c r="P61" s="1" t="s">
        <v>793</v>
      </c>
      <c r="Q61" t="str">
        <f>CONCATENATE(Tabella5[[#This Row],[PartCode]],"_",Tabella5[[#This Row],[PartRev]])</f>
        <v>B5904.03_A_A</v>
      </c>
      <c r="S61" t="s">
        <v>204</v>
      </c>
      <c r="T61" t="str">
        <f t="shared" si="0"/>
        <v>B5904_03_A.jpg</v>
      </c>
    </row>
    <row r="62" spans="1:20" x14ac:dyDescent="0.25">
      <c r="A62" s="1"/>
      <c r="B62" s="1" t="s">
        <v>648</v>
      </c>
      <c r="C62" s="1" t="s">
        <v>28</v>
      </c>
      <c r="D62" s="1" t="s">
        <v>48</v>
      </c>
      <c r="E62" s="1" t="s">
        <v>27</v>
      </c>
      <c r="F62" s="1" t="s">
        <v>29</v>
      </c>
      <c r="G62" s="1" t="s">
        <v>95</v>
      </c>
      <c r="H62" t="s">
        <v>95</v>
      </c>
      <c r="I62" t="s">
        <v>205</v>
      </c>
      <c r="J62" s="1" t="s">
        <v>438</v>
      </c>
      <c r="K62" s="1" t="s">
        <v>95</v>
      </c>
      <c r="L62" t="s">
        <v>95</v>
      </c>
      <c r="M62" s="1" t="s">
        <v>95</v>
      </c>
      <c r="N62" t="s">
        <v>95</v>
      </c>
      <c r="O62" t="s">
        <v>95</v>
      </c>
      <c r="P62" s="1" t="s">
        <v>794</v>
      </c>
      <c r="Q62" t="str">
        <f>CONCATENATE(Tabella5[[#This Row],[PartCode]],"_",Tabella5[[#This Row],[PartRev]])</f>
        <v>B5905.00_B_B</v>
      </c>
      <c r="S62" t="s">
        <v>207</v>
      </c>
      <c r="T62" t="str">
        <f t="shared" si="0"/>
        <v>B5905_00_B.jpg</v>
      </c>
    </row>
    <row r="63" spans="1:20" x14ac:dyDescent="0.25">
      <c r="A63" s="1"/>
      <c r="B63" s="1" t="s">
        <v>649</v>
      </c>
      <c r="C63" s="1" t="s">
        <v>28</v>
      </c>
      <c r="D63" s="1" t="s">
        <v>48</v>
      </c>
      <c r="E63" s="1" t="s">
        <v>27</v>
      </c>
      <c r="F63" s="1" t="s">
        <v>29</v>
      </c>
      <c r="G63" s="1" t="s">
        <v>95</v>
      </c>
      <c r="H63" t="s">
        <v>95</v>
      </c>
      <c r="I63" t="s">
        <v>208</v>
      </c>
      <c r="J63" s="1" t="s">
        <v>439</v>
      </c>
      <c r="K63" s="1" t="s">
        <v>95</v>
      </c>
      <c r="L63" t="s">
        <v>95</v>
      </c>
      <c r="M63" s="1" t="s">
        <v>95</v>
      </c>
      <c r="N63" t="s">
        <v>95</v>
      </c>
      <c r="O63" t="s">
        <v>95</v>
      </c>
      <c r="P63" s="1" t="s">
        <v>795</v>
      </c>
      <c r="Q63" t="str">
        <f>CONCATENATE(Tabella5[[#This Row],[PartCode]],"_",Tabella5[[#This Row],[PartRev]])</f>
        <v>B5906.00_B_B</v>
      </c>
      <c r="S63" t="s">
        <v>210</v>
      </c>
      <c r="T63" t="str">
        <f t="shared" si="0"/>
        <v>B5906_00_B.jpg</v>
      </c>
    </row>
    <row r="64" spans="1:20" x14ac:dyDescent="0.25">
      <c r="A64" s="1"/>
      <c r="B64" s="1" t="s">
        <v>650</v>
      </c>
      <c r="C64" s="1" t="s">
        <v>28</v>
      </c>
      <c r="D64" s="1" t="s">
        <v>40</v>
      </c>
      <c r="E64" s="1" t="s">
        <v>27</v>
      </c>
      <c r="F64" s="1" t="s">
        <v>29</v>
      </c>
      <c r="G64" s="1" t="s">
        <v>95</v>
      </c>
      <c r="H64" t="s">
        <v>95</v>
      </c>
      <c r="I64" t="s">
        <v>211</v>
      </c>
      <c r="J64" s="1" t="s">
        <v>440</v>
      </c>
      <c r="K64" s="1" t="s">
        <v>95</v>
      </c>
      <c r="L64" t="s">
        <v>95</v>
      </c>
      <c r="M64" s="1" t="s">
        <v>95</v>
      </c>
      <c r="N64" t="s">
        <v>95</v>
      </c>
      <c r="O64" t="s">
        <v>95</v>
      </c>
      <c r="P64" s="1" t="s">
        <v>796</v>
      </c>
      <c r="Q64" t="str">
        <f>CONCATENATE(Tabella5[[#This Row],[PartCode]],"_",Tabella5[[#This Row],[PartRev]])</f>
        <v>B5907.00_C_C</v>
      </c>
      <c r="S64" t="s">
        <v>213</v>
      </c>
      <c r="T64" t="str">
        <f t="shared" si="0"/>
        <v>B5907_00_C.jpg</v>
      </c>
    </row>
    <row r="65" spans="1:20" x14ac:dyDescent="0.25">
      <c r="A65" s="1"/>
      <c r="B65" s="1" t="s">
        <v>651</v>
      </c>
      <c r="C65" s="1" t="s">
        <v>28</v>
      </c>
      <c r="D65" s="1" t="s">
        <v>40</v>
      </c>
      <c r="E65" s="1" t="s">
        <v>27</v>
      </c>
      <c r="F65" s="1" t="s">
        <v>29</v>
      </c>
      <c r="G65" s="1" t="s">
        <v>217</v>
      </c>
      <c r="H65" t="s">
        <v>477</v>
      </c>
      <c r="I65" t="s">
        <v>214</v>
      </c>
      <c r="J65" s="1" t="s">
        <v>441</v>
      </c>
      <c r="K65" s="1" t="s">
        <v>95</v>
      </c>
      <c r="L65" t="s">
        <v>95</v>
      </c>
      <c r="M65" s="1" t="s">
        <v>95</v>
      </c>
      <c r="N65" t="s">
        <v>95</v>
      </c>
      <c r="O65" t="s">
        <v>95</v>
      </c>
      <c r="P65" s="1" t="s">
        <v>797</v>
      </c>
      <c r="Q65" t="str">
        <f>CONCATENATE(Tabella5[[#This Row],[PartCode]],"_",Tabella5[[#This Row],[PartRev]])</f>
        <v>B5929.01_C_C</v>
      </c>
      <c r="S65" t="s">
        <v>216</v>
      </c>
      <c r="T65" t="str">
        <f t="shared" si="0"/>
        <v>B5929_01_C.jpg</v>
      </c>
    </row>
    <row r="66" spans="1:20" x14ac:dyDescent="0.25">
      <c r="A66" s="1"/>
      <c r="B66" s="1" t="s">
        <v>652</v>
      </c>
      <c r="C66" s="1" t="s">
        <v>28</v>
      </c>
      <c r="D66" s="1" t="s">
        <v>48</v>
      </c>
      <c r="E66" s="1" t="s">
        <v>27</v>
      </c>
      <c r="F66" s="1" t="s">
        <v>29</v>
      </c>
      <c r="G66" s="1" t="s">
        <v>95</v>
      </c>
      <c r="H66" t="s">
        <v>95</v>
      </c>
      <c r="I66" t="s">
        <v>218</v>
      </c>
      <c r="J66" s="1" t="s">
        <v>442</v>
      </c>
      <c r="K66" s="1" t="s">
        <v>95</v>
      </c>
      <c r="L66" t="s">
        <v>95</v>
      </c>
      <c r="M66" s="1" t="s">
        <v>95</v>
      </c>
      <c r="N66" t="s">
        <v>95</v>
      </c>
      <c r="O66" t="s">
        <v>95</v>
      </c>
      <c r="P66" s="1" t="s">
        <v>798</v>
      </c>
      <c r="Q66" t="str">
        <f>CONCATENATE(Tabella5[[#This Row],[PartCode]],"_",Tabella5[[#This Row],[PartRev]])</f>
        <v>B5930.01_B_B</v>
      </c>
      <c r="S66" t="s">
        <v>220</v>
      </c>
      <c r="T66" t="str">
        <f t="shared" si="0"/>
        <v>B5930_01_B.jpg</v>
      </c>
    </row>
    <row r="67" spans="1:20" x14ac:dyDescent="0.25">
      <c r="A67" s="1"/>
      <c r="B67" s="1" t="s">
        <v>653</v>
      </c>
      <c r="C67" s="1" t="s">
        <v>28</v>
      </c>
      <c r="D67" s="1" t="s">
        <v>44</v>
      </c>
      <c r="E67" s="1" t="s">
        <v>27</v>
      </c>
      <c r="F67" s="1" t="s">
        <v>29</v>
      </c>
      <c r="G67" s="1" t="s">
        <v>95</v>
      </c>
      <c r="H67" t="s">
        <v>95</v>
      </c>
      <c r="I67" t="s">
        <v>221</v>
      </c>
      <c r="J67" s="1" t="s">
        <v>443</v>
      </c>
      <c r="K67" s="1" t="s">
        <v>95</v>
      </c>
      <c r="L67" t="s">
        <v>95</v>
      </c>
      <c r="M67" s="1" t="s">
        <v>95</v>
      </c>
      <c r="N67" t="s">
        <v>95</v>
      </c>
      <c r="O67" t="s">
        <v>95</v>
      </c>
      <c r="P67" s="1" t="s">
        <v>799</v>
      </c>
      <c r="Q67" t="str">
        <f>CONCATENATE(Tabella5[[#This Row],[PartCode]],"_",Tabella5[[#This Row],[PartRev]])</f>
        <v>B6025.00_A_A</v>
      </c>
      <c r="S67" t="s">
        <v>223</v>
      </c>
      <c r="T67" t="str">
        <f t="shared" ref="T67:T86" si="1">CONCATENATE(SUBSTITUTE(SUBSTITUTE(B67,".","_"),"_NULL",""),".jpg")</f>
        <v>B6025_00_A.jpg</v>
      </c>
    </row>
    <row r="68" spans="1:20" x14ac:dyDescent="0.25">
      <c r="A68" s="1"/>
      <c r="B68" s="1" t="s">
        <v>721</v>
      </c>
      <c r="C68" s="1" t="s">
        <v>28</v>
      </c>
      <c r="D68" s="1" t="s">
        <v>95</v>
      </c>
      <c r="E68" s="1" t="s">
        <v>27</v>
      </c>
      <c r="F68" s="1" t="s">
        <v>29</v>
      </c>
      <c r="G68" s="1" t="s">
        <v>224</v>
      </c>
      <c r="H68" t="s">
        <v>478</v>
      </c>
      <c r="I68" t="s">
        <v>95</v>
      </c>
      <c r="J68" s="1" t="s">
        <v>95</v>
      </c>
      <c r="K68" s="1" t="s">
        <v>95</v>
      </c>
      <c r="L68" t="s">
        <v>95</v>
      </c>
      <c r="M68" s="1" t="s">
        <v>95</v>
      </c>
      <c r="N68" t="s">
        <v>95</v>
      </c>
      <c r="O68" t="s">
        <v>95</v>
      </c>
      <c r="P68" s="1" t="s">
        <v>800</v>
      </c>
      <c r="Q68" t="str">
        <f>CONCATENATE(Tabella5[[#This Row],[PartCode]],"_",Tabella5[[#This Row],[PartRev]])</f>
        <v>D3955.00_NULL_NULL</v>
      </c>
      <c r="S68" t="s">
        <v>226</v>
      </c>
      <c r="T68" t="str">
        <f t="shared" si="1"/>
        <v>D3955_00.jpg</v>
      </c>
    </row>
    <row r="69" spans="1:20" x14ac:dyDescent="0.25">
      <c r="A69" s="1"/>
      <c r="B69" s="1" t="s">
        <v>654</v>
      </c>
      <c r="C69" s="1" t="s">
        <v>28</v>
      </c>
      <c r="D69" s="1" t="s">
        <v>44</v>
      </c>
      <c r="E69" s="1" t="s">
        <v>27</v>
      </c>
      <c r="F69" s="1" t="s">
        <v>29</v>
      </c>
      <c r="G69" s="1" t="s">
        <v>95</v>
      </c>
      <c r="H69" t="s">
        <v>95</v>
      </c>
      <c r="I69" t="s">
        <v>227</v>
      </c>
      <c r="J69" s="1" t="s">
        <v>444</v>
      </c>
      <c r="K69" s="1" t="s">
        <v>95</v>
      </c>
      <c r="L69" t="s">
        <v>95</v>
      </c>
      <c r="M69" s="1" t="s">
        <v>95</v>
      </c>
      <c r="N69" t="s">
        <v>95</v>
      </c>
      <c r="O69" t="s">
        <v>95</v>
      </c>
      <c r="P69" s="1" t="s">
        <v>801</v>
      </c>
      <c r="Q69" t="str">
        <f>CONCATENATE(Tabella5[[#This Row],[PartCode]],"_",Tabella5[[#This Row],[PartRev]])</f>
        <v>D4183.02_A_A</v>
      </c>
      <c r="S69" t="s">
        <v>229</v>
      </c>
      <c r="T69" t="str">
        <f t="shared" si="1"/>
        <v>D4183_02_A.jpg</v>
      </c>
    </row>
    <row r="70" spans="1:20" x14ac:dyDescent="0.25">
      <c r="A70" s="1"/>
      <c r="B70" s="1" t="s">
        <v>655</v>
      </c>
      <c r="C70" s="1" t="s">
        <v>28</v>
      </c>
      <c r="D70" s="1" t="s">
        <v>44</v>
      </c>
      <c r="E70" s="1" t="s">
        <v>27</v>
      </c>
      <c r="F70" s="1" t="s">
        <v>29</v>
      </c>
      <c r="G70" s="1" t="s">
        <v>95</v>
      </c>
      <c r="H70" t="s">
        <v>95</v>
      </c>
      <c r="I70" t="s">
        <v>230</v>
      </c>
      <c r="J70" s="1" t="s">
        <v>445</v>
      </c>
      <c r="K70" s="1" t="s">
        <v>95</v>
      </c>
      <c r="L70" t="s">
        <v>95</v>
      </c>
      <c r="M70" s="1" t="s">
        <v>95</v>
      </c>
      <c r="N70" t="s">
        <v>95</v>
      </c>
      <c r="O70" t="s">
        <v>95</v>
      </c>
      <c r="P70" s="1" t="s">
        <v>802</v>
      </c>
      <c r="Q70" t="str">
        <f>CONCATENATE(Tabella5[[#This Row],[PartCode]],"_",Tabella5[[#This Row],[PartRev]])</f>
        <v>D4553.00_A_A</v>
      </c>
      <c r="S70" t="s">
        <v>232</v>
      </c>
      <c r="T70" t="str">
        <f t="shared" si="1"/>
        <v>D4553_00_A.jpg</v>
      </c>
    </row>
    <row r="71" spans="1:20" x14ac:dyDescent="0.25">
      <c r="A71" s="1"/>
      <c r="B71" s="1" t="s">
        <v>656</v>
      </c>
      <c r="C71" s="1" t="s">
        <v>28</v>
      </c>
      <c r="D71" s="1" t="s">
        <v>44</v>
      </c>
      <c r="E71" s="1" t="s">
        <v>27</v>
      </c>
      <c r="F71" s="1" t="s">
        <v>29</v>
      </c>
      <c r="G71" s="1" t="s">
        <v>95</v>
      </c>
      <c r="H71" t="s">
        <v>95</v>
      </c>
      <c r="I71" t="s">
        <v>233</v>
      </c>
      <c r="J71" s="1" t="s">
        <v>446</v>
      </c>
      <c r="K71" s="1" t="s">
        <v>95</v>
      </c>
      <c r="L71" t="s">
        <v>95</v>
      </c>
      <c r="M71" s="1" t="s">
        <v>95</v>
      </c>
      <c r="N71" t="s">
        <v>95</v>
      </c>
      <c r="O71" t="s">
        <v>95</v>
      </c>
      <c r="P71" s="1" t="s">
        <v>803</v>
      </c>
      <c r="Q71" t="str">
        <f>CONCATENATE(Tabella5[[#This Row],[PartCode]],"_",Tabella5[[#This Row],[PartRev]])</f>
        <v>D5044.00_A_A</v>
      </c>
      <c r="S71" t="s">
        <v>235</v>
      </c>
      <c r="T71" t="str">
        <f t="shared" si="1"/>
        <v>D5044_00_A.jpg</v>
      </c>
    </row>
    <row r="72" spans="1:20" x14ac:dyDescent="0.25">
      <c r="A72" s="1"/>
      <c r="B72" s="1" t="s">
        <v>657</v>
      </c>
      <c r="C72" s="1" t="s">
        <v>28</v>
      </c>
      <c r="D72" s="1" t="s">
        <v>44</v>
      </c>
      <c r="E72" s="1" t="s">
        <v>27</v>
      </c>
      <c r="F72" s="1" t="s">
        <v>29</v>
      </c>
      <c r="G72" s="1" t="s">
        <v>95</v>
      </c>
      <c r="H72" t="s">
        <v>95</v>
      </c>
      <c r="I72" t="s">
        <v>236</v>
      </c>
      <c r="J72" s="1" t="s">
        <v>447</v>
      </c>
      <c r="K72" s="1" t="s">
        <v>95</v>
      </c>
      <c r="L72" t="s">
        <v>95</v>
      </c>
      <c r="M72" s="1" t="s">
        <v>95</v>
      </c>
      <c r="N72" t="s">
        <v>95</v>
      </c>
      <c r="O72" t="s">
        <v>95</v>
      </c>
      <c r="P72" s="1" t="s">
        <v>804</v>
      </c>
      <c r="Q72" t="str">
        <f>CONCATENATE(Tabella5[[#This Row],[PartCode]],"_",Tabella5[[#This Row],[PartRev]])</f>
        <v>D5061.00_A_A</v>
      </c>
      <c r="S72" t="s">
        <v>238</v>
      </c>
      <c r="T72" t="str">
        <f t="shared" si="1"/>
        <v>D5061_00_A.jpg</v>
      </c>
    </row>
    <row r="73" spans="1:20" x14ac:dyDescent="0.25">
      <c r="A73" s="1"/>
      <c r="B73" s="1" t="s">
        <v>658</v>
      </c>
      <c r="C73" s="1" t="s">
        <v>28</v>
      </c>
      <c r="D73" s="1" t="s">
        <v>44</v>
      </c>
      <c r="E73" s="1" t="s">
        <v>27</v>
      </c>
      <c r="F73" s="1" t="s">
        <v>29</v>
      </c>
      <c r="G73" s="1" t="s">
        <v>95</v>
      </c>
      <c r="H73" t="s">
        <v>95</v>
      </c>
      <c r="I73" t="s">
        <v>239</v>
      </c>
      <c r="J73" s="1" t="s">
        <v>448</v>
      </c>
      <c r="K73" s="1" t="s">
        <v>95</v>
      </c>
      <c r="L73" t="s">
        <v>95</v>
      </c>
      <c r="M73" s="1" t="s">
        <v>95</v>
      </c>
      <c r="N73" t="s">
        <v>95</v>
      </c>
      <c r="O73" t="s">
        <v>95</v>
      </c>
      <c r="P73" s="1" t="s">
        <v>805</v>
      </c>
      <c r="Q73" t="str">
        <f>CONCATENATE(Tabella5[[#This Row],[PartCode]],"_",Tabella5[[#This Row],[PartRev]])</f>
        <v>D5785.05_A_A</v>
      </c>
      <c r="S73" t="s">
        <v>241</v>
      </c>
      <c r="T73" t="str">
        <f t="shared" si="1"/>
        <v>D5785_05_A.jpg</v>
      </c>
    </row>
    <row r="74" spans="1:20" x14ac:dyDescent="0.25">
      <c r="A74" s="1"/>
      <c r="B74" s="1" t="s">
        <v>659</v>
      </c>
      <c r="C74" s="1" t="s">
        <v>28</v>
      </c>
      <c r="D74" s="1" t="s">
        <v>44</v>
      </c>
      <c r="E74" s="1" t="s">
        <v>27</v>
      </c>
      <c r="F74" s="1" t="s">
        <v>29</v>
      </c>
      <c r="G74" s="1" t="s">
        <v>95</v>
      </c>
      <c r="H74" t="s">
        <v>95</v>
      </c>
      <c r="I74" t="s">
        <v>242</v>
      </c>
      <c r="J74" s="1" t="s">
        <v>449</v>
      </c>
      <c r="K74" s="1" t="s">
        <v>95</v>
      </c>
      <c r="L74" t="s">
        <v>95</v>
      </c>
      <c r="M74" s="1" t="s">
        <v>95</v>
      </c>
      <c r="N74" t="s">
        <v>95</v>
      </c>
      <c r="O74" t="s">
        <v>95</v>
      </c>
      <c r="P74" s="1" t="s">
        <v>806</v>
      </c>
      <c r="Q74" t="str">
        <f>CONCATENATE(Tabella5[[#This Row],[PartCode]],"_",Tabella5[[#This Row],[PartRev]])</f>
        <v>D5804.00_A_A</v>
      </c>
      <c r="S74" t="s">
        <v>244</v>
      </c>
      <c r="T74" t="str">
        <f t="shared" si="1"/>
        <v>D5804_00_A.jpg</v>
      </c>
    </row>
    <row r="75" spans="1:20" x14ac:dyDescent="0.25">
      <c r="A75" s="1"/>
      <c r="B75" s="1" t="s">
        <v>660</v>
      </c>
      <c r="C75" s="1" t="s">
        <v>28</v>
      </c>
      <c r="D75" s="1" t="s">
        <v>44</v>
      </c>
      <c r="E75" s="1" t="s">
        <v>27</v>
      </c>
      <c r="F75" s="1" t="s">
        <v>29</v>
      </c>
      <c r="G75" s="1" t="s">
        <v>95</v>
      </c>
      <c r="H75" t="s">
        <v>95</v>
      </c>
      <c r="I75" t="s">
        <v>245</v>
      </c>
      <c r="J75" s="1" t="s">
        <v>450</v>
      </c>
      <c r="K75" s="1" t="s">
        <v>95</v>
      </c>
      <c r="L75" t="s">
        <v>95</v>
      </c>
      <c r="M75" s="1" t="s">
        <v>95</v>
      </c>
      <c r="N75" t="s">
        <v>95</v>
      </c>
      <c r="O75" t="s">
        <v>95</v>
      </c>
      <c r="P75" s="1" t="s">
        <v>807</v>
      </c>
      <c r="Q75" t="str">
        <f>CONCATENATE(Tabella5[[#This Row],[PartCode]],"_",Tabella5[[#This Row],[PartRev]])</f>
        <v>D5805.00_A_A</v>
      </c>
      <c r="S75" t="s">
        <v>247</v>
      </c>
      <c r="T75" t="str">
        <f t="shared" si="1"/>
        <v>D5805_00_A.jpg</v>
      </c>
    </row>
    <row r="76" spans="1:20" x14ac:dyDescent="0.25">
      <c r="A76" s="1"/>
      <c r="B76" s="1" t="s">
        <v>722</v>
      </c>
      <c r="C76" s="1" t="s">
        <v>28</v>
      </c>
      <c r="D76" s="1" t="s">
        <v>95</v>
      </c>
      <c r="E76" s="1" t="s">
        <v>27</v>
      </c>
      <c r="F76" s="1" t="s">
        <v>29</v>
      </c>
      <c r="G76" s="1" t="s">
        <v>24</v>
      </c>
      <c r="H76" t="s">
        <v>557</v>
      </c>
      <c r="I76" t="s">
        <v>95</v>
      </c>
      <c r="J76" s="1" t="s">
        <v>95</v>
      </c>
      <c r="K76" s="1" t="s">
        <v>95</v>
      </c>
      <c r="L76" t="s">
        <v>95</v>
      </c>
      <c r="M76" s="1" t="s">
        <v>95</v>
      </c>
      <c r="N76" t="s">
        <v>95</v>
      </c>
      <c r="O76" t="s">
        <v>95</v>
      </c>
      <c r="P76" s="1" t="s">
        <v>808</v>
      </c>
      <c r="Q76" t="str">
        <f>CONCATENATE(Tabella5[[#This Row],[PartCode]],"_",Tabella5[[#This Row],[PartRev]])</f>
        <v>Z0000001_NULL_NULL</v>
      </c>
      <c r="S76" t="s">
        <v>569</v>
      </c>
      <c r="T76" t="str">
        <f t="shared" si="1"/>
        <v>Z0000001.jpg</v>
      </c>
    </row>
    <row r="77" spans="1:20" x14ac:dyDescent="0.25">
      <c r="A77" s="1"/>
      <c r="B77" s="1" t="s">
        <v>723</v>
      </c>
      <c r="C77" s="1" t="s">
        <v>28</v>
      </c>
      <c r="D77" s="1" t="s">
        <v>95</v>
      </c>
      <c r="E77" s="1" t="s">
        <v>27</v>
      </c>
      <c r="F77" s="1" t="s">
        <v>29</v>
      </c>
      <c r="G77" s="1" t="s">
        <v>31</v>
      </c>
      <c r="H77" t="s">
        <v>558</v>
      </c>
      <c r="I77" t="s">
        <v>95</v>
      </c>
      <c r="J77" s="1" t="s">
        <v>95</v>
      </c>
      <c r="K77" s="1" t="s">
        <v>95</v>
      </c>
      <c r="L77" t="s">
        <v>95</v>
      </c>
      <c r="M77" s="1" t="s">
        <v>95</v>
      </c>
      <c r="N77" t="s">
        <v>95</v>
      </c>
      <c r="O77" t="s">
        <v>95</v>
      </c>
      <c r="P77" s="1" t="s">
        <v>809</v>
      </c>
      <c r="Q77" t="str">
        <f>CONCATENATE(Tabella5[[#This Row],[PartCode]],"_",Tabella5[[#This Row],[PartRev]])</f>
        <v>Z0000002_NULL_NULL</v>
      </c>
      <c r="S77" t="s">
        <v>570</v>
      </c>
      <c r="T77" t="str">
        <f t="shared" si="1"/>
        <v>Z0000002.jpg</v>
      </c>
    </row>
    <row r="78" spans="1:20" x14ac:dyDescent="0.25">
      <c r="A78" s="1"/>
      <c r="B78" s="1" t="s">
        <v>724</v>
      </c>
      <c r="C78" s="1" t="s">
        <v>28</v>
      </c>
      <c r="D78" s="1" t="s">
        <v>95</v>
      </c>
      <c r="E78" s="1" t="s">
        <v>27</v>
      </c>
      <c r="F78" s="1" t="s">
        <v>29</v>
      </c>
      <c r="G78" s="1" t="s">
        <v>34</v>
      </c>
      <c r="H78" t="s">
        <v>559</v>
      </c>
      <c r="I78" t="s">
        <v>95</v>
      </c>
      <c r="J78" s="1" t="s">
        <v>95</v>
      </c>
      <c r="K78" s="1" t="s">
        <v>95</v>
      </c>
      <c r="L78" t="s">
        <v>95</v>
      </c>
      <c r="M78" s="1" t="s">
        <v>95</v>
      </c>
      <c r="N78" t="s">
        <v>95</v>
      </c>
      <c r="O78" t="s">
        <v>95</v>
      </c>
      <c r="P78" s="1" t="s">
        <v>810</v>
      </c>
      <c r="Q78" t="str">
        <f>CONCATENATE(Tabella5[[#This Row],[PartCode]],"_",Tabella5[[#This Row],[PartRev]])</f>
        <v>Z0000003_NULL_NULL</v>
      </c>
      <c r="S78" t="s">
        <v>571</v>
      </c>
      <c r="T78" t="str">
        <f t="shared" si="1"/>
        <v>Z0000003.jpg</v>
      </c>
    </row>
    <row r="79" spans="1:20" x14ac:dyDescent="0.25">
      <c r="A79" s="1"/>
      <c r="B79" s="1" t="s">
        <v>725</v>
      </c>
      <c r="C79" s="1" t="s">
        <v>28</v>
      </c>
      <c r="D79" s="1" t="s">
        <v>95</v>
      </c>
      <c r="E79" s="1" t="s">
        <v>27</v>
      </c>
      <c r="F79" s="1" t="s">
        <v>29</v>
      </c>
      <c r="G79" s="1" t="s">
        <v>248</v>
      </c>
      <c r="H79" t="s">
        <v>560</v>
      </c>
      <c r="I79" t="s">
        <v>95</v>
      </c>
      <c r="J79" s="1" t="s">
        <v>95</v>
      </c>
      <c r="K79" s="1" t="s">
        <v>95</v>
      </c>
      <c r="L79" t="s">
        <v>95</v>
      </c>
      <c r="M79" s="1" t="s">
        <v>95</v>
      </c>
      <c r="N79" t="s">
        <v>95</v>
      </c>
      <c r="O79" t="s">
        <v>95</v>
      </c>
      <c r="P79" s="1" t="s">
        <v>811</v>
      </c>
      <c r="Q79" t="str">
        <f>CONCATENATE(Tabella5[[#This Row],[PartCode]],"_",Tabella5[[#This Row],[PartRev]])</f>
        <v>Z0000004_NULL_NULL</v>
      </c>
      <c r="S79" t="s">
        <v>572</v>
      </c>
      <c r="T79" t="str">
        <f t="shared" si="1"/>
        <v>Z0000004.jpg</v>
      </c>
    </row>
    <row r="80" spans="1:20" x14ac:dyDescent="0.25">
      <c r="A80" s="1"/>
      <c r="B80" s="1" t="s">
        <v>726</v>
      </c>
      <c r="C80" s="1" t="s">
        <v>28</v>
      </c>
      <c r="D80" s="1" t="s">
        <v>95</v>
      </c>
      <c r="E80" s="1" t="s">
        <v>27</v>
      </c>
      <c r="F80" s="1" t="s">
        <v>29</v>
      </c>
      <c r="G80" s="1" t="s">
        <v>250</v>
      </c>
      <c r="H80" t="s">
        <v>561</v>
      </c>
      <c r="I80" t="s">
        <v>95</v>
      </c>
      <c r="J80" s="1" t="s">
        <v>95</v>
      </c>
      <c r="K80" s="1" t="s">
        <v>95</v>
      </c>
      <c r="L80" t="s">
        <v>95</v>
      </c>
      <c r="M80" s="1" t="s">
        <v>95</v>
      </c>
      <c r="N80" t="s">
        <v>95</v>
      </c>
      <c r="O80" t="s">
        <v>95</v>
      </c>
      <c r="P80" s="1" t="s">
        <v>812</v>
      </c>
      <c r="Q80" t="str">
        <f>CONCATENATE(Tabella5[[#This Row],[PartCode]],"_",Tabella5[[#This Row],[PartRev]])</f>
        <v>Z0000005_NULL_NULL</v>
      </c>
      <c r="S80" t="s">
        <v>573</v>
      </c>
      <c r="T80" t="str">
        <f t="shared" si="1"/>
        <v>Z0000005.jpg</v>
      </c>
    </row>
    <row r="81" spans="1:20" x14ac:dyDescent="0.25">
      <c r="A81" s="1"/>
      <c r="B81" s="1" t="s">
        <v>727</v>
      </c>
      <c r="C81" s="1" t="s">
        <v>28</v>
      </c>
      <c r="D81" s="1" t="s">
        <v>95</v>
      </c>
      <c r="E81" s="1" t="s">
        <v>27</v>
      </c>
      <c r="F81" s="1" t="s">
        <v>29</v>
      </c>
      <c r="G81" s="1" t="s">
        <v>252</v>
      </c>
      <c r="H81" t="s">
        <v>562</v>
      </c>
      <c r="I81" t="s">
        <v>95</v>
      </c>
      <c r="J81" s="1" t="s">
        <v>95</v>
      </c>
      <c r="K81" s="1" t="s">
        <v>95</v>
      </c>
      <c r="L81" t="s">
        <v>95</v>
      </c>
      <c r="M81" s="1" t="s">
        <v>95</v>
      </c>
      <c r="N81" t="s">
        <v>95</v>
      </c>
      <c r="O81" t="s">
        <v>95</v>
      </c>
      <c r="P81" s="1" t="s">
        <v>813</v>
      </c>
      <c r="Q81" t="str">
        <f>CONCATENATE(Tabella5[[#This Row],[PartCode]],"_",Tabella5[[#This Row],[PartRev]])</f>
        <v>Z0000006_NULL_NULL</v>
      </c>
      <c r="S81" t="s">
        <v>574</v>
      </c>
      <c r="T81" t="str">
        <f t="shared" si="1"/>
        <v>Z0000006.jpg</v>
      </c>
    </row>
    <row r="82" spans="1:20" x14ac:dyDescent="0.25">
      <c r="A82" s="1"/>
      <c r="B82" s="1" t="s">
        <v>728</v>
      </c>
      <c r="C82" s="1" t="s">
        <v>28</v>
      </c>
      <c r="D82" s="1" t="s">
        <v>95</v>
      </c>
      <c r="E82" s="1" t="s">
        <v>27</v>
      </c>
      <c r="F82" s="1" t="s">
        <v>29</v>
      </c>
      <c r="G82" s="1" t="s">
        <v>254</v>
      </c>
      <c r="H82" t="s">
        <v>563</v>
      </c>
      <c r="I82" t="s">
        <v>95</v>
      </c>
      <c r="J82" s="1" t="s">
        <v>95</v>
      </c>
      <c r="K82" s="1" t="s">
        <v>95</v>
      </c>
      <c r="L82" t="s">
        <v>95</v>
      </c>
      <c r="M82" s="1" t="s">
        <v>95</v>
      </c>
      <c r="N82" t="s">
        <v>95</v>
      </c>
      <c r="O82" t="s">
        <v>95</v>
      </c>
      <c r="P82" s="1" t="s">
        <v>814</v>
      </c>
      <c r="Q82" t="str">
        <f>CONCATENATE(Tabella5[[#This Row],[PartCode]],"_",Tabella5[[#This Row],[PartRev]])</f>
        <v>Z0000007_NULL_NULL</v>
      </c>
      <c r="S82" t="s">
        <v>575</v>
      </c>
      <c r="T82" t="str">
        <f t="shared" si="1"/>
        <v>Z0000007.jpg</v>
      </c>
    </row>
    <row r="83" spans="1:20" x14ac:dyDescent="0.25">
      <c r="A83" s="1"/>
      <c r="B83" s="1" t="s">
        <v>729</v>
      </c>
      <c r="C83" s="1" t="s">
        <v>28</v>
      </c>
      <c r="D83" s="1" t="s">
        <v>95</v>
      </c>
      <c r="E83" s="1" t="s">
        <v>27</v>
      </c>
      <c r="F83" s="1" t="s">
        <v>29</v>
      </c>
      <c r="G83" s="1" t="s">
        <v>258</v>
      </c>
      <c r="H83" t="s">
        <v>564</v>
      </c>
      <c r="I83" t="s">
        <v>95</v>
      </c>
      <c r="J83" s="1" t="s">
        <v>95</v>
      </c>
      <c r="K83" s="1" t="s">
        <v>95</v>
      </c>
      <c r="L83" t="s">
        <v>95</v>
      </c>
      <c r="M83" s="1" t="s">
        <v>95</v>
      </c>
      <c r="N83" t="s">
        <v>95</v>
      </c>
      <c r="O83" t="s">
        <v>95</v>
      </c>
      <c r="P83" s="1" t="s">
        <v>815</v>
      </c>
      <c r="Q83" t="str">
        <f>CONCATENATE(Tabella5[[#This Row],[PartCode]],"_",Tabella5[[#This Row],[PartRev]])</f>
        <v>Z0000008_NULL_NULL</v>
      </c>
      <c r="S83" t="s">
        <v>576</v>
      </c>
      <c r="T83" t="str">
        <f t="shared" si="1"/>
        <v>Z0000008.jpg</v>
      </c>
    </row>
    <row r="84" spans="1:20" x14ac:dyDescent="0.25">
      <c r="A84" s="1"/>
      <c r="B84" s="1" t="s">
        <v>730</v>
      </c>
      <c r="C84" s="1" t="s">
        <v>28</v>
      </c>
      <c r="D84" s="1" t="s">
        <v>95</v>
      </c>
      <c r="E84" s="1" t="s">
        <v>27</v>
      </c>
      <c r="F84" s="1" t="s">
        <v>29</v>
      </c>
      <c r="G84" s="1" t="s">
        <v>260</v>
      </c>
      <c r="H84" t="s">
        <v>565</v>
      </c>
      <c r="I84" t="s">
        <v>95</v>
      </c>
      <c r="J84" s="1" t="s">
        <v>95</v>
      </c>
      <c r="K84" s="1" t="s">
        <v>95</v>
      </c>
      <c r="L84" t="s">
        <v>95</v>
      </c>
      <c r="M84" s="1" t="s">
        <v>95</v>
      </c>
      <c r="N84" t="s">
        <v>95</v>
      </c>
      <c r="O84" t="s">
        <v>95</v>
      </c>
      <c r="P84" s="1" t="s">
        <v>816</v>
      </c>
      <c r="Q84" t="str">
        <f>CONCATENATE(Tabella5[[#This Row],[PartCode]],"_",Tabella5[[#This Row],[PartRev]])</f>
        <v>Z0000009_NULL_NULL</v>
      </c>
      <c r="S84" t="s">
        <v>577</v>
      </c>
      <c r="T84" t="str">
        <f t="shared" si="1"/>
        <v>Z0000009.jpg</v>
      </c>
    </row>
    <row r="85" spans="1:20" x14ac:dyDescent="0.25">
      <c r="A85" s="1"/>
      <c r="B85" s="1" t="s">
        <v>731</v>
      </c>
      <c r="C85" s="1" t="s">
        <v>28</v>
      </c>
      <c r="D85" s="1" t="s">
        <v>95</v>
      </c>
      <c r="E85" s="1" t="s">
        <v>27</v>
      </c>
      <c r="F85" s="1" t="s">
        <v>29</v>
      </c>
      <c r="G85" s="1" t="s">
        <v>262</v>
      </c>
      <c r="H85" t="s">
        <v>566</v>
      </c>
      <c r="I85" t="s">
        <v>95</v>
      </c>
      <c r="J85" s="1" t="s">
        <v>95</v>
      </c>
      <c r="K85" s="1" t="s">
        <v>95</v>
      </c>
      <c r="L85" t="s">
        <v>95</v>
      </c>
      <c r="M85" s="1" t="s">
        <v>95</v>
      </c>
      <c r="N85" t="s">
        <v>95</v>
      </c>
      <c r="O85" t="s">
        <v>95</v>
      </c>
      <c r="P85" s="1" t="s">
        <v>817</v>
      </c>
      <c r="Q85" t="str">
        <f>CONCATENATE(Tabella5[[#This Row],[PartCode]],"_",Tabella5[[#This Row],[PartRev]])</f>
        <v>Z0000010_NULL_NULL</v>
      </c>
      <c r="S85" t="s">
        <v>578</v>
      </c>
      <c r="T85" t="str">
        <f t="shared" si="1"/>
        <v>Z0000010.jpg</v>
      </c>
    </row>
    <row r="86" spans="1:20" x14ac:dyDescent="0.25">
      <c r="A86" s="1"/>
      <c r="B86" s="1" t="s">
        <v>732</v>
      </c>
      <c r="C86" s="1" t="s">
        <v>28</v>
      </c>
      <c r="D86" s="1" t="s">
        <v>95</v>
      </c>
      <c r="E86" s="1" t="s">
        <v>27</v>
      </c>
      <c r="F86" s="1" t="s">
        <v>29</v>
      </c>
      <c r="G86" s="1" t="s">
        <v>264</v>
      </c>
      <c r="H86" t="s">
        <v>567</v>
      </c>
      <c r="I86" t="s">
        <v>95</v>
      </c>
      <c r="J86" s="1" t="s">
        <v>95</v>
      </c>
      <c r="K86" s="1" t="s">
        <v>95</v>
      </c>
      <c r="L86" t="s">
        <v>95</v>
      </c>
      <c r="M86" s="1" t="s">
        <v>95</v>
      </c>
      <c r="N86" t="s">
        <v>95</v>
      </c>
      <c r="O86" t="s">
        <v>95</v>
      </c>
      <c r="P86" s="1" t="s">
        <v>818</v>
      </c>
      <c r="Q86" t="str">
        <f>CONCATENATE(Tabella5[[#This Row],[PartCode]],"_",Tabella5[[#This Row],[PartRev]])</f>
        <v>Z0000011_NULL_NULL</v>
      </c>
      <c r="S86" t="s">
        <v>579</v>
      </c>
      <c r="T86" t="str">
        <f t="shared" si="1"/>
        <v>Z0000011.jpg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9"/>
  <sheetViews>
    <sheetView workbookViewId="0"/>
  </sheetViews>
  <sheetFormatPr defaultRowHeight="15" x14ac:dyDescent="0.25"/>
  <cols>
    <col min="1" max="1" width="12.140625" bestFit="1" customWidth="1"/>
    <col min="2" max="2" width="15" bestFit="1" customWidth="1"/>
  </cols>
  <sheetData>
    <row r="1" spans="1:2" x14ac:dyDescent="0.25">
      <c r="A1" s="1" t="s">
        <v>689</v>
      </c>
      <c r="B1" s="1" t="s">
        <v>688</v>
      </c>
    </row>
    <row r="2" spans="1:2" x14ac:dyDescent="0.25">
      <c r="A2" s="7" t="s">
        <v>668</v>
      </c>
      <c r="B2" s="7" t="s">
        <v>690</v>
      </c>
    </row>
    <row r="3" spans="1:2" x14ac:dyDescent="0.25">
      <c r="A3" s="7" t="s">
        <v>669</v>
      </c>
      <c r="B3" s="7" t="s">
        <v>690</v>
      </c>
    </row>
    <row r="4" spans="1:2" x14ac:dyDescent="0.25">
      <c r="A4" s="7" t="s">
        <v>670</v>
      </c>
      <c r="B4" s="7" t="s">
        <v>690</v>
      </c>
    </row>
    <row r="5" spans="1:2" x14ac:dyDescent="0.25">
      <c r="A5" s="7" t="s">
        <v>604</v>
      </c>
      <c r="B5" s="7" t="s">
        <v>690</v>
      </c>
    </row>
    <row r="6" spans="1:2" x14ac:dyDescent="0.25">
      <c r="A6" s="7" t="s">
        <v>605</v>
      </c>
      <c r="B6" s="7" t="s">
        <v>690</v>
      </c>
    </row>
    <row r="7" spans="1:2" x14ac:dyDescent="0.25">
      <c r="A7" s="7" t="s">
        <v>606</v>
      </c>
      <c r="B7" s="7" t="s">
        <v>690</v>
      </c>
    </row>
    <row r="8" spans="1:2" x14ac:dyDescent="0.25">
      <c r="A8" s="7" t="s">
        <v>607</v>
      </c>
      <c r="B8" s="7" t="s">
        <v>690</v>
      </c>
    </row>
    <row r="9" spans="1:2" x14ac:dyDescent="0.25">
      <c r="A9" s="7" t="s">
        <v>608</v>
      </c>
      <c r="B9" s="7" t="s">
        <v>690</v>
      </c>
    </row>
    <row r="10" spans="1:2" x14ac:dyDescent="0.25">
      <c r="A10" s="7" t="s">
        <v>609</v>
      </c>
      <c r="B10" s="7" t="s">
        <v>690</v>
      </c>
    </row>
    <row r="11" spans="1:2" x14ac:dyDescent="0.25">
      <c r="A11" s="7" t="s">
        <v>609</v>
      </c>
      <c r="B11" s="7" t="s">
        <v>690</v>
      </c>
    </row>
    <row r="12" spans="1:2" x14ac:dyDescent="0.25">
      <c r="A12" s="7" t="s">
        <v>610</v>
      </c>
      <c r="B12" s="7" t="s">
        <v>690</v>
      </c>
    </row>
    <row r="13" spans="1:2" x14ac:dyDescent="0.25">
      <c r="A13" s="7" t="s">
        <v>612</v>
      </c>
      <c r="B13" s="7" t="s">
        <v>690</v>
      </c>
    </row>
    <row r="14" spans="1:2" x14ac:dyDescent="0.25">
      <c r="A14" s="7" t="s">
        <v>615</v>
      </c>
      <c r="B14" s="7" t="s">
        <v>690</v>
      </c>
    </row>
    <row r="15" spans="1:2" x14ac:dyDescent="0.25">
      <c r="A15" s="7" t="s">
        <v>615</v>
      </c>
      <c r="B15" s="7" t="s">
        <v>690</v>
      </c>
    </row>
    <row r="16" spans="1:2" x14ac:dyDescent="0.25">
      <c r="A16" s="7" t="s">
        <v>617</v>
      </c>
      <c r="B16" s="7" t="s">
        <v>690</v>
      </c>
    </row>
    <row r="17" spans="1:2" x14ac:dyDescent="0.25">
      <c r="A17" s="7" t="s">
        <v>618</v>
      </c>
      <c r="B17" s="7" t="s">
        <v>690</v>
      </c>
    </row>
    <row r="18" spans="1:2" x14ac:dyDescent="0.25">
      <c r="A18" s="7" t="s">
        <v>619</v>
      </c>
      <c r="B18" s="7" t="s">
        <v>690</v>
      </c>
    </row>
    <row r="19" spans="1:2" x14ac:dyDescent="0.25">
      <c r="A19" s="7" t="s">
        <v>98</v>
      </c>
      <c r="B19" s="7" t="s">
        <v>690</v>
      </c>
    </row>
    <row r="20" spans="1:2" x14ac:dyDescent="0.25">
      <c r="A20" s="7" t="s">
        <v>620</v>
      </c>
      <c r="B20" s="7" t="s">
        <v>690</v>
      </c>
    </row>
    <row r="21" spans="1:2" x14ac:dyDescent="0.25">
      <c r="A21" s="7" t="s">
        <v>621</v>
      </c>
      <c r="B21" s="7" t="s">
        <v>690</v>
      </c>
    </row>
    <row r="22" spans="1:2" x14ac:dyDescent="0.25">
      <c r="A22" s="7" t="s">
        <v>621</v>
      </c>
      <c r="B22" s="7" t="s">
        <v>690</v>
      </c>
    </row>
    <row r="23" spans="1:2" x14ac:dyDescent="0.25">
      <c r="A23" s="7" t="s">
        <v>622</v>
      </c>
      <c r="B23" s="7" t="s">
        <v>690</v>
      </c>
    </row>
    <row r="24" spans="1:2" x14ac:dyDescent="0.25">
      <c r="A24" s="7" t="s">
        <v>624</v>
      </c>
      <c r="B24" s="7" t="s">
        <v>690</v>
      </c>
    </row>
    <row r="25" spans="1:2" x14ac:dyDescent="0.25">
      <c r="A25" s="7" t="s">
        <v>626</v>
      </c>
      <c r="B25" s="7" t="s">
        <v>690</v>
      </c>
    </row>
    <row r="26" spans="1:2" x14ac:dyDescent="0.25">
      <c r="A26" s="7" t="s">
        <v>628</v>
      </c>
      <c r="B26" s="7" t="s">
        <v>690</v>
      </c>
    </row>
    <row r="27" spans="1:2" x14ac:dyDescent="0.25">
      <c r="A27" s="7" t="s">
        <v>630</v>
      </c>
      <c r="B27" s="7" t="s">
        <v>690</v>
      </c>
    </row>
    <row r="28" spans="1:2" x14ac:dyDescent="0.25">
      <c r="A28" s="7" t="s">
        <v>631</v>
      </c>
      <c r="B28" s="7" t="s">
        <v>690</v>
      </c>
    </row>
    <row r="29" spans="1:2" x14ac:dyDescent="0.25">
      <c r="A29" s="7" t="s">
        <v>632</v>
      </c>
      <c r="B29" s="7" t="s">
        <v>690</v>
      </c>
    </row>
    <row r="30" spans="1:2" x14ac:dyDescent="0.25">
      <c r="A30" s="7" t="s">
        <v>633</v>
      </c>
      <c r="B30" s="7" t="s">
        <v>690</v>
      </c>
    </row>
    <row r="31" spans="1:2" x14ac:dyDescent="0.25">
      <c r="A31" s="7" t="s">
        <v>634</v>
      </c>
      <c r="B31" s="7" t="s">
        <v>690</v>
      </c>
    </row>
    <row r="32" spans="1:2" x14ac:dyDescent="0.25">
      <c r="A32" s="7" t="s">
        <v>156</v>
      </c>
      <c r="B32" s="7" t="s">
        <v>690</v>
      </c>
    </row>
    <row r="33" spans="1:2" x14ac:dyDescent="0.25">
      <c r="A33" s="7" t="s">
        <v>159</v>
      </c>
      <c r="B33" s="7" t="s">
        <v>690</v>
      </c>
    </row>
    <row r="34" spans="1:2" x14ac:dyDescent="0.25">
      <c r="A34" s="7" t="s">
        <v>635</v>
      </c>
      <c r="B34" s="7" t="s">
        <v>690</v>
      </c>
    </row>
    <row r="35" spans="1:2" x14ac:dyDescent="0.25">
      <c r="A35" s="7" t="s">
        <v>636</v>
      </c>
      <c r="B35" s="7" t="s">
        <v>690</v>
      </c>
    </row>
    <row r="36" spans="1:2" x14ac:dyDescent="0.25">
      <c r="A36" s="7" t="s">
        <v>637</v>
      </c>
      <c r="B36" s="7" t="s">
        <v>690</v>
      </c>
    </row>
    <row r="37" spans="1:2" x14ac:dyDescent="0.25">
      <c r="A37" s="7" t="s">
        <v>638</v>
      </c>
      <c r="B37" s="7" t="s">
        <v>690</v>
      </c>
    </row>
    <row r="38" spans="1:2" x14ac:dyDescent="0.25">
      <c r="A38" s="7" t="s">
        <v>639</v>
      </c>
      <c r="B38" s="7" t="s">
        <v>690</v>
      </c>
    </row>
    <row r="39" spans="1:2" x14ac:dyDescent="0.25">
      <c r="A39" s="7" t="s">
        <v>177</v>
      </c>
      <c r="B39" s="7" t="s">
        <v>690</v>
      </c>
    </row>
    <row r="40" spans="1:2" x14ac:dyDescent="0.25">
      <c r="A40" s="7" t="s">
        <v>640</v>
      </c>
      <c r="B40" s="7" t="s">
        <v>690</v>
      </c>
    </row>
    <row r="41" spans="1:2" x14ac:dyDescent="0.25">
      <c r="A41" s="7" t="s">
        <v>183</v>
      </c>
      <c r="B41" s="7" t="s">
        <v>690</v>
      </c>
    </row>
    <row r="42" spans="1:2" x14ac:dyDescent="0.25">
      <c r="A42" s="7" t="s">
        <v>641</v>
      </c>
      <c r="B42" s="7" t="s">
        <v>690</v>
      </c>
    </row>
    <row r="43" spans="1:2" x14ac:dyDescent="0.25">
      <c r="A43" s="7" t="s">
        <v>642</v>
      </c>
      <c r="B43" s="7" t="s">
        <v>690</v>
      </c>
    </row>
    <row r="44" spans="1:2" x14ac:dyDescent="0.25">
      <c r="A44" s="7" t="s">
        <v>643</v>
      </c>
      <c r="B44" s="7" t="s">
        <v>690</v>
      </c>
    </row>
    <row r="45" spans="1:2" x14ac:dyDescent="0.25">
      <c r="A45" s="7" t="s">
        <v>644</v>
      </c>
      <c r="B45" s="7" t="s">
        <v>690</v>
      </c>
    </row>
    <row r="46" spans="1:2" x14ac:dyDescent="0.25">
      <c r="A46" s="7" t="s">
        <v>645</v>
      </c>
      <c r="B46" s="7" t="s">
        <v>690</v>
      </c>
    </row>
    <row r="47" spans="1:2" x14ac:dyDescent="0.25">
      <c r="A47" s="7" t="s">
        <v>646</v>
      </c>
      <c r="B47" s="7" t="s">
        <v>690</v>
      </c>
    </row>
    <row r="48" spans="1:2" x14ac:dyDescent="0.25">
      <c r="A48" s="7" t="s">
        <v>647</v>
      </c>
      <c r="B48" s="7" t="s">
        <v>690</v>
      </c>
    </row>
    <row r="49" spans="1:2" x14ac:dyDescent="0.25">
      <c r="A49" s="7" t="s">
        <v>648</v>
      </c>
      <c r="B49" s="7" t="s">
        <v>690</v>
      </c>
    </row>
    <row r="50" spans="1:2" x14ac:dyDescent="0.25">
      <c r="A50" s="7" t="s">
        <v>649</v>
      </c>
      <c r="B50" s="7" t="s">
        <v>690</v>
      </c>
    </row>
    <row r="51" spans="1:2" x14ac:dyDescent="0.25">
      <c r="A51" s="7" t="s">
        <v>650</v>
      </c>
      <c r="B51" s="7" t="s">
        <v>690</v>
      </c>
    </row>
    <row r="52" spans="1:2" x14ac:dyDescent="0.25">
      <c r="A52" s="7" t="s">
        <v>651</v>
      </c>
      <c r="B52" s="7" t="s">
        <v>690</v>
      </c>
    </row>
    <row r="53" spans="1:2" x14ac:dyDescent="0.25">
      <c r="A53" s="7" t="s">
        <v>651</v>
      </c>
      <c r="B53" s="7" t="s">
        <v>690</v>
      </c>
    </row>
    <row r="54" spans="1:2" x14ac:dyDescent="0.25">
      <c r="A54" s="7" t="s">
        <v>226</v>
      </c>
      <c r="B54" s="7" t="s">
        <v>690</v>
      </c>
    </row>
    <row r="55" spans="1:2" x14ac:dyDescent="0.25">
      <c r="A55" s="7" t="s">
        <v>654</v>
      </c>
      <c r="B55" s="7" t="s">
        <v>690</v>
      </c>
    </row>
    <row r="56" spans="1:2" x14ac:dyDescent="0.25">
      <c r="A56" s="7" t="s">
        <v>655</v>
      </c>
      <c r="B56" s="7" t="s">
        <v>690</v>
      </c>
    </row>
    <row r="57" spans="1:2" x14ac:dyDescent="0.25">
      <c r="A57" s="7" t="s">
        <v>656</v>
      </c>
      <c r="B57" s="7" t="s">
        <v>690</v>
      </c>
    </row>
    <row r="58" spans="1:2" x14ac:dyDescent="0.25">
      <c r="A58" s="7" t="s">
        <v>657</v>
      </c>
      <c r="B58" s="7" t="s">
        <v>690</v>
      </c>
    </row>
    <row r="59" spans="1:2" x14ac:dyDescent="0.25">
      <c r="A59" s="7" t="s">
        <v>658</v>
      </c>
      <c r="B59" s="7" t="s">
        <v>690</v>
      </c>
    </row>
    <row r="60" spans="1:2" x14ac:dyDescent="0.25">
      <c r="A60" s="7" t="s">
        <v>659</v>
      </c>
      <c r="B60" s="7" t="s">
        <v>690</v>
      </c>
    </row>
    <row r="61" spans="1:2" x14ac:dyDescent="0.25">
      <c r="A61" s="7" t="s">
        <v>660</v>
      </c>
      <c r="B61" s="7" t="s">
        <v>690</v>
      </c>
    </row>
    <row r="62" spans="1:2" x14ac:dyDescent="0.25">
      <c r="A62" s="7" t="s">
        <v>671</v>
      </c>
      <c r="B62" s="7" t="s">
        <v>690</v>
      </c>
    </row>
    <row r="63" spans="1:2" x14ac:dyDescent="0.25">
      <c r="A63" s="7" t="s">
        <v>672</v>
      </c>
      <c r="B63" s="7" t="s">
        <v>690</v>
      </c>
    </row>
    <row r="64" spans="1:2" x14ac:dyDescent="0.25">
      <c r="A64" s="7" t="s">
        <v>673</v>
      </c>
      <c r="B64" s="7" t="s">
        <v>690</v>
      </c>
    </row>
    <row r="65" spans="1:2" x14ac:dyDescent="0.25">
      <c r="A65" s="7" t="s">
        <v>674</v>
      </c>
      <c r="B65" s="7" t="s">
        <v>690</v>
      </c>
    </row>
    <row r="66" spans="1:2" x14ac:dyDescent="0.25">
      <c r="A66" s="7" t="s">
        <v>675</v>
      </c>
      <c r="B66" s="7" t="s">
        <v>690</v>
      </c>
    </row>
    <row r="67" spans="1:2" x14ac:dyDescent="0.25">
      <c r="A67" s="7" t="s">
        <v>676</v>
      </c>
      <c r="B67" s="7" t="s">
        <v>691</v>
      </c>
    </row>
    <row r="68" spans="1:2" x14ac:dyDescent="0.25">
      <c r="A68" s="7" t="s">
        <v>677</v>
      </c>
      <c r="B68" s="7" t="s">
        <v>691</v>
      </c>
    </row>
    <row r="69" spans="1:2" x14ac:dyDescent="0.25">
      <c r="A69" s="7" t="s">
        <v>678</v>
      </c>
      <c r="B69" s="7" t="s">
        <v>691</v>
      </c>
    </row>
    <row r="70" spans="1:2" x14ac:dyDescent="0.25">
      <c r="A70" s="7" t="s">
        <v>604</v>
      </c>
      <c r="B70" s="7" t="s">
        <v>691</v>
      </c>
    </row>
    <row r="71" spans="1:2" x14ac:dyDescent="0.25">
      <c r="A71" s="7" t="s">
        <v>605</v>
      </c>
      <c r="B71" s="7" t="s">
        <v>691</v>
      </c>
    </row>
    <row r="72" spans="1:2" x14ac:dyDescent="0.25">
      <c r="A72" s="7" t="s">
        <v>606</v>
      </c>
      <c r="B72" s="7" t="s">
        <v>691</v>
      </c>
    </row>
    <row r="73" spans="1:2" x14ac:dyDescent="0.25">
      <c r="A73" s="7" t="s">
        <v>607</v>
      </c>
      <c r="B73" s="7" t="s">
        <v>691</v>
      </c>
    </row>
    <row r="74" spans="1:2" x14ac:dyDescent="0.25">
      <c r="A74" s="7" t="s">
        <v>608</v>
      </c>
      <c r="B74" s="7" t="s">
        <v>691</v>
      </c>
    </row>
    <row r="75" spans="1:2" x14ac:dyDescent="0.25">
      <c r="A75" s="7" t="s">
        <v>609</v>
      </c>
      <c r="B75" s="7" t="s">
        <v>691</v>
      </c>
    </row>
    <row r="76" spans="1:2" x14ac:dyDescent="0.25">
      <c r="A76" s="7" t="s">
        <v>609</v>
      </c>
      <c r="B76" s="7" t="s">
        <v>691</v>
      </c>
    </row>
    <row r="77" spans="1:2" x14ac:dyDescent="0.25">
      <c r="A77" s="7" t="s">
        <v>610</v>
      </c>
      <c r="B77" s="7" t="s">
        <v>691</v>
      </c>
    </row>
    <row r="78" spans="1:2" x14ac:dyDescent="0.25">
      <c r="A78" s="7" t="s">
        <v>612</v>
      </c>
      <c r="B78" s="7" t="s">
        <v>691</v>
      </c>
    </row>
    <row r="79" spans="1:2" x14ac:dyDescent="0.25">
      <c r="A79" s="7" t="s">
        <v>615</v>
      </c>
      <c r="B79" s="7" t="s">
        <v>691</v>
      </c>
    </row>
    <row r="80" spans="1:2" x14ac:dyDescent="0.25">
      <c r="A80" s="7" t="s">
        <v>615</v>
      </c>
      <c r="B80" s="7" t="s">
        <v>691</v>
      </c>
    </row>
    <row r="81" spans="1:2" x14ac:dyDescent="0.25">
      <c r="A81" s="7" t="s">
        <v>617</v>
      </c>
      <c r="B81" s="7" t="s">
        <v>691</v>
      </c>
    </row>
    <row r="82" spans="1:2" x14ac:dyDescent="0.25">
      <c r="A82" s="7" t="s">
        <v>618</v>
      </c>
      <c r="B82" s="7" t="s">
        <v>691</v>
      </c>
    </row>
    <row r="83" spans="1:2" x14ac:dyDescent="0.25">
      <c r="A83" s="7" t="s">
        <v>619</v>
      </c>
      <c r="B83" s="7" t="s">
        <v>691</v>
      </c>
    </row>
    <row r="84" spans="1:2" x14ac:dyDescent="0.25">
      <c r="A84" s="7" t="s">
        <v>98</v>
      </c>
      <c r="B84" s="7" t="s">
        <v>691</v>
      </c>
    </row>
    <row r="85" spans="1:2" x14ac:dyDescent="0.25">
      <c r="A85" s="7" t="s">
        <v>620</v>
      </c>
      <c r="B85" s="7" t="s">
        <v>691</v>
      </c>
    </row>
    <row r="86" spans="1:2" x14ac:dyDescent="0.25">
      <c r="A86" s="7" t="s">
        <v>621</v>
      </c>
      <c r="B86" s="7" t="s">
        <v>691</v>
      </c>
    </row>
    <row r="87" spans="1:2" x14ac:dyDescent="0.25">
      <c r="A87" s="7" t="s">
        <v>621</v>
      </c>
      <c r="B87" s="7" t="s">
        <v>691</v>
      </c>
    </row>
    <row r="88" spans="1:2" x14ac:dyDescent="0.25">
      <c r="A88" s="7" t="s">
        <v>622</v>
      </c>
      <c r="B88" s="7" t="s">
        <v>691</v>
      </c>
    </row>
    <row r="89" spans="1:2" x14ac:dyDescent="0.25">
      <c r="A89" s="7" t="s">
        <v>624</v>
      </c>
      <c r="B89" s="7" t="s">
        <v>691</v>
      </c>
    </row>
    <row r="90" spans="1:2" x14ac:dyDescent="0.25">
      <c r="A90" s="7" t="s">
        <v>626</v>
      </c>
      <c r="B90" s="7" t="s">
        <v>691</v>
      </c>
    </row>
    <row r="91" spans="1:2" x14ac:dyDescent="0.25">
      <c r="A91" s="7" t="s">
        <v>628</v>
      </c>
      <c r="B91" s="7" t="s">
        <v>691</v>
      </c>
    </row>
    <row r="92" spans="1:2" x14ac:dyDescent="0.25">
      <c r="A92" s="7" t="s">
        <v>630</v>
      </c>
      <c r="B92" s="7" t="s">
        <v>691</v>
      </c>
    </row>
    <row r="93" spans="1:2" x14ac:dyDescent="0.25">
      <c r="A93" s="7" t="s">
        <v>631</v>
      </c>
      <c r="B93" s="7" t="s">
        <v>691</v>
      </c>
    </row>
    <row r="94" spans="1:2" x14ac:dyDescent="0.25">
      <c r="A94" s="7" t="s">
        <v>632</v>
      </c>
      <c r="B94" s="7" t="s">
        <v>691</v>
      </c>
    </row>
    <row r="95" spans="1:2" x14ac:dyDescent="0.25">
      <c r="A95" s="7" t="s">
        <v>633</v>
      </c>
      <c r="B95" s="7" t="s">
        <v>691</v>
      </c>
    </row>
    <row r="96" spans="1:2" x14ac:dyDescent="0.25">
      <c r="A96" s="7" t="s">
        <v>634</v>
      </c>
      <c r="B96" s="7" t="s">
        <v>691</v>
      </c>
    </row>
    <row r="97" spans="1:2" x14ac:dyDescent="0.25">
      <c r="A97" s="7" t="s">
        <v>156</v>
      </c>
      <c r="B97" s="7" t="s">
        <v>691</v>
      </c>
    </row>
    <row r="98" spans="1:2" x14ac:dyDescent="0.25">
      <c r="A98" s="7" t="s">
        <v>159</v>
      </c>
      <c r="B98" s="7" t="s">
        <v>691</v>
      </c>
    </row>
    <row r="99" spans="1:2" x14ac:dyDescent="0.25">
      <c r="A99" s="7" t="s">
        <v>635</v>
      </c>
      <c r="B99" s="7" t="s">
        <v>691</v>
      </c>
    </row>
    <row r="100" spans="1:2" x14ac:dyDescent="0.25">
      <c r="A100" s="7" t="s">
        <v>636</v>
      </c>
      <c r="B100" s="7" t="s">
        <v>691</v>
      </c>
    </row>
    <row r="101" spans="1:2" x14ac:dyDescent="0.25">
      <c r="A101" s="7" t="s">
        <v>637</v>
      </c>
      <c r="B101" s="7" t="s">
        <v>691</v>
      </c>
    </row>
    <row r="102" spans="1:2" x14ac:dyDescent="0.25">
      <c r="A102" s="7" t="s">
        <v>638</v>
      </c>
      <c r="B102" s="7" t="s">
        <v>691</v>
      </c>
    </row>
    <row r="103" spans="1:2" x14ac:dyDescent="0.25">
      <c r="A103" s="7" t="s">
        <v>639</v>
      </c>
      <c r="B103" s="7" t="s">
        <v>691</v>
      </c>
    </row>
    <row r="104" spans="1:2" x14ac:dyDescent="0.25">
      <c r="A104" s="7" t="s">
        <v>177</v>
      </c>
      <c r="B104" s="7" t="s">
        <v>691</v>
      </c>
    </row>
    <row r="105" spans="1:2" x14ac:dyDescent="0.25">
      <c r="A105" s="7" t="s">
        <v>640</v>
      </c>
      <c r="B105" s="7" t="s">
        <v>691</v>
      </c>
    </row>
    <row r="106" spans="1:2" x14ac:dyDescent="0.25">
      <c r="A106" s="7" t="s">
        <v>183</v>
      </c>
      <c r="B106" s="7" t="s">
        <v>691</v>
      </c>
    </row>
    <row r="107" spans="1:2" x14ac:dyDescent="0.25">
      <c r="A107" s="7" t="s">
        <v>641</v>
      </c>
      <c r="B107" s="7" t="s">
        <v>691</v>
      </c>
    </row>
    <row r="108" spans="1:2" x14ac:dyDescent="0.25">
      <c r="A108" s="7" t="s">
        <v>642</v>
      </c>
      <c r="B108" s="7" t="s">
        <v>691</v>
      </c>
    </row>
    <row r="109" spans="1:2" x14ac:dyDescent="0.25">
      <c r="A109" s="7" t="s">
        <v>643</v>
      </c>
      <c r="B109" s="7" t="s">
        <v>691</v>
      </c>
    </row>
    <row r="110" spans="1:2" x14ac:dyDescent="0.25">
      <c r="A110" s="7" t="s">
        <v>644</v>
      </c>
      <c r="B110" s="7" t="s">
        <v>691</v>
      </c>
    </row>
    <row r="111" spans="1:2" x14ac:dyDescent="0.25">
      <c r="A111" s="7" t="s">
        <v>645</v>
      </c>
      <c r="B111" s="7" t="s">
        <v>691</v>
      </c>
    </row>
    <row r="112" spans="1:2" x14ac:dyDescent="0.25">
      <c r="A112" s="7" t="s">
        <v>646</v>
      </c>
      <c r="B112" s="7" t="s">
        <v>691</v>
      </c>
    </row>
    <row r="113" spans="1:2" x14ac:dyDescent="0.25">
      <c r="A113" s="7" t="s">
        <v>647</v>
      </c>
      <c r="B113" s="7" t="s">
        <v>691</v>
      </c>
    </row>
    <row r="114" spans="1:2" x14ac:dyDescent="0.25">
      <c r="A114" s="7" t="s">
        <v>648</v>
      </c>
      <c r="B114" s="7" t="s">
        <v>691</v>
      </c>
    </row>
    <row r="115" spans="1:2" x14ac:dyDescent="0.25">
      <c r="A115" s="7" t="s">
        <v>649</v>
      </c>
      <c r="B115" s="7" t="s">
        <v>691</v>
      </c>
    </row>
    <row r="116" spans="1:2" x14ac:dyDescent="0.25">
      <c r="A116" s="7" t="s">
        <v>650</v>
      </c>
      <c r="B116" s="7" t="s">
        <v>691</v>
      </c>
    </row>
    <row r="117" spans="1:2" x14ac:dyDescent="0.25">
      <c r="A117" s="7" t="s">
        <v>651</v>
      </c>
      <c r="B117" s="7" t="s">
        <v>691</v>
      </c>
    </row>
    <row r="118" spans="1:2" x14ac:dyDescent="0.25">
      <c r="A118" s="7" t="s">
        <v>651</v>
      </c>
      <c r="B118" s="7" t="s">
        <v>691</v>
      </c>
    </row>
    <row r="119" spans="1:2" x14ac:dyDescent="0.25">
      <c r="A119" s="7" t="s">
        <v>226</v>
      </c>
      <c r="B119" s="7" t="s">
        <v>691</v>
      </c>
    </row>
    <row r="120" spans="1:2" x14ac:dyDescent="0.25">
      <c r="A120" s="7" t="s">
        <v>654</v>
      </c>
      <c r="B120" s="7" t="s">
        <v>691</v>
      </c>
    </row>
    <row r="121" spans="1:2" x14ac:dyDescent="0.25">
      <c r="A121" s="7" t="s">
        <v>655</v>
      </c>
      <c r="B121" s="7" t="s">
        <v>691</v>
      </c>
    </row>
    <row r="122" spans="1:2" x14ac:dyDescent="0.25">
      <c r="A122" s="7" t="s">
        <v>656</v>
      </c>
      <c r="B122" s="7" t="s">
        <v>691</v>
      </c>
    </row>
    <row r="123" spans="1:2" x14ac:dyDescent="0.25">
      <c r="A123" s="7" t="s">
        <v>657</v>
      </c>
      <c r="B123" s="7" t="s">
        <v>691</v>
      </c>
    </row>
    <row r="124" spans="1:2" x14ac:dyDescent="0.25">
      <c r="A124" s="7" t="s">
        <v>658</v>
      </c>
      <c r="B124" s="7" t="s">
        <v>691</v>
      </c>
    </row>
    <row r="125" spans="1:2" x14ac:dyDescent="0.25">
      <c r="A125" s="7" t="s">
        <v>659</v>
      </c>
      <c r="B125" s="7" t="s">
        <v>691</v>
      </c>
    </row>
    <row r="126" spans="1:2" x14ac:dyDescent="0.25">
      <c r="A126" s="7" t="s">
        <v>660</v>
      </c>
      <c r="B126" s="7" t="s">
        <v>691</v>
      </c>
    </row>
    <row r="127" spans="1:2" x14ac:dyDescent="0.25">
      <c r="A127" s="7" t="s">
        <v>679</v>
      </c>
      <c r="B127" s="7" t="s">
        <v>691</v>
      </c>
    </row>
    <row r="128" spans="1:2" x14ac:dyDescent="0.25">
      <c r="A128" s="7" t="s">
        <v>680</v>
      </c>
      <c r="B128" s="7" t="s">
        <v>691</v>
      </c>
    </row>
    <row r="129" spans="1:2" x14ac:dyDescent="0.25">
      <c r="A129" s="7" t="s">
        <v>681</v>
      </c>
      <c r="B129" s="7" t="s">
        <v>691</v>
      </c>
    </row>
    <row r="130" spans="1:2" x14ac:dyDescent="0.25">
      <c r="A130" s="7" t="s">
        <v>682</v>
      </c>
      <c r="B130" s="7" t="s">
        <v>691</v>
      </c>
    </row>
    <row r="131" spans="1:2" x14ac:dyDescent="0.25">
      <c r="A131" s="7" t="s">
        <v>683</v>
      </c>
      <c r="B131" s="7" t="s">
        <v>691</v>
      </c>
    </row>
    <row r="132" spans="1:2" x14ac:dyDescent="0.25">
      <c r="A132" s="7" t="s">
        <v>684</v>
      </c>
      <c r="B132" s="7" t="s">
        <v>692</v>
      </c>
    </row>
    <row r="133" spans="1:2" x14ac:dyDescent="0.25">
      <c r="A133" s="7" t="s">
        <v>685</v>
      </c>
      <c r="B133" s="7" t="s">
        <v>692</v>
      </c>
    </row>
    <row r="134" spans="1:2" x14ac:dyDescent="0.25">
      <c r="A134" s="7" t="s">
        <v>686</v>
      </c>
      <c r="B134" s="7" t="s">
        <v>695</v>
      </c>
    </row>
    <row r="135" spans="1:2" x14ac:dyDescent="0.25">
      <c r="A135" s="7" t="s">
        <v>687</v>
      </c>
      <c r="B135" s="7" t="s">
        <v>695</v>
      </c>
    </row>
    <row r="136" spans="1:2" x14ac:dyDescent="0.25">
      <c r="A136" s="7" t="s">
        <v>661</v>
      </c>
      <c r="B136" s="7" t="s">
        <v>694</v>
      </c>
    </row>
    <row r="137" spans="1:2" x14ac:dyDescent="0.25">
      <c r="A137" s="7" t="s">
        <v>661</v>
      </c>
      <c r="B137" s="7" t="s">
        <v>694</v>
      </c>
    </row>
    <row r="138" spans="1:2" x14ac:dyDescent="0.25">
      <c r="A138" s="7" t="s">
        <v>663</v>
      </c>
      <c r="B138" s="7" t="s">
        <v>693</v>
      </c>
    </row>
    <row r="139" spans="1:2" x14ac:dyDescent="0.25">
      <c r="A139" s="7" t="s">
        <v>664</v>
      </c>
      <c r="B139" s="7" t="s">
        <v>693</v>
      </c>
    </row>
    <row r="140" spans="1:2" x14ac:dyDescent="0.25">
      <c r="A140" s="7" t="s">
        <v>665</v>
      </c>
      <c r="B140" s="7" t="s">
        <v>693</v>
      </c>
    </row>
    <row r="141" spans="1:2" x14ac:dyDescent="0.25">
      <c r="A141" s="7" t="s">
        <v>666</v>
      </c>
      <c r="B141" s="7" t="s">
        <v>693</v>
      </c>
    </row>
    <row r="142" spans="1:2" x14ac:dyDescent="0.25">
      <c r="A142" s="8" t="s">
        <v>668</v>
      </c>
      <c r="B142" s="7" t="s">
        <v>691</v>
      </c>
    </row>
    <row r="143" spans="1:2" x14ac:dyDescent="0.25">
      <c r="A143" s="8" t="s">
        <v>669</v>
      </c>
      <c r="B143" s="7" t="s">
        <v>691</v>
      </c>
    </row>
    <row r="144" spans="1:2" x14ac:dyDescent="0.25">
      <c r="A144" s="8" t="s">
        <v>670</v>
      </c>
      <c r="B144" s="7" t="s">
        <v>691</v>
      </c>
    </row>
    <row r="145" spans="1:2" x14ac:dyDescent="0.25">
      <c r="A145" s="8" t="s">
        <v>604</v>
      </c>
      <c r="B145" s="7" t="s">
        <v>691</v>
      </c>
    </row>
    <row r="146" spans="1:2" x14ac:dyDescent="0.25">
      <c r="A146" s="8" t="s">
        <v>672</v>
      </c>
      <c r="B146" s="7" t="s">
        <v>691</v>
      </c>
    </row>
    <row r="147" spans="1:2" x14ac:dyDescent="0.25">
      <c r="A147" s="8" t="s">
        <v>673</v>
      </c>
      <c r="B147" s="7" t="s">
        <v>691</v>
      </c>
    </row>
    <row r="148" spans="1:2" x14ac:dyDescent="0.25">
      <c r="A148" s="8" t="s">
        <v>674</v>
      </c>
      <c r="B148" s="7" t="s">
        <v>691</v>
      </c>
    </row>
    <row r="149" spans="1:2" x14ac:dyDescent="0.25">
      <c r="A149" s="9" t="s">
        <v>675</v>
      </c>
      <c r="B149" s="7" t="s">
        <v>691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toexportPRJ_NEW</vt:lpstr>
      <vt:lpstr>toexportPARTS</vt:lpstr>
      <vt:lpstr>Foglio3</vt:lpstr>
      <vt:lpstr>Foglio1</vt:lpstr>
      <vt:lpstr>Family</vt:lpstr>
      <vt:lpstr>Project</vt:lpstr>
      <vt:lpstr>Product</vt:lpstr>
      <vt:lpstr>Part</vt:lpstr>
      <vt:lpstr>Component_match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Bartola</dc:creator>
  <cp:lastModifiedBy>Roberto Bartola</cp:lastModifiedBy>
  <dcterms:created xsi:type="dcterms:W3CDTF">2015-12-03T22:31:12Z</dcterms:created>
  <dcterms:modified xsi:type="dcterms:W3CDTF">2015-12-10T13:20:57Z</dcterms:modified>
</cp:coreProperties>
</file>