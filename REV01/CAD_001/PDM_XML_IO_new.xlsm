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rbartola\Documents\WORK\Would-BePDM\trunk\REV01\CAD_001\"/>
    </mc:Choice>
  </mc:AlternateContent>
  <bookViews>
    <workbookView xWindow="120" yWindow="150" windowWidth="24915" windowHeight="12075"/>
  </bookViews>
  <sheets>
    <sheet name="toexport" sheetId="12" r:id="rId1"/>
  </sheets>
  <definedNames>
    <definedName name="_xlnm._FilterDatabase" localSheetId="0" hidden="1">toexport!$A$1:$M$29</definedName>
  </definedNames>
  <calcPr calcId="152511"/>
</workbook>
</file>

<file path=xl/calcChain.xml><?xml version="1.0" encoding="utf-8"?>
<calcChain xmlns="http://schemas.openxmlformats.org/spreadsheetml/2006/main">
  <c r="M20" i="12" l="1"/>
  <c r="M4" i="12"/>
  <c r="M29" i="12"/>
  <c r="M27" i="12"/>
  <c r="M25" i="12"/>
  <c r="M23" i="12"/>
  <c r="M19" i="12"/>
  <c r="M17" i="12"/>
  <c r="M15" i="12"/>
  <c r="M12" i="12"/>
  <c r="M10" i="12"/>
  <c r="M8" i="12"/>
  <c r="M6" i="12"/>
  <c r="L28" i="12"/>
  <c r="L26" i="12"/>
  <c r="L24" i="12"/>
  <c r="L22" i="12"/>
  <c r="L21" i="12"/>
  <c r="L18" i="12"/>
  <c r="L16" i="12"/>
  <c r="L14" i="12"/>
  <c r="L13" i="12"/>
  <c r="L11" i="12"/>
  <c r="L9" i="12"/>
  <c r="L7" i="12"/>
  <c r="L5" i="12"/>
  <c r="P30" i="12"/>
  <c r="Q30" i="12" s="1"/>
  <c r="O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E29" i="12" l="1"/>
  <c r="L29" i="12" s="1"/>
  <c r="O29" i="12" s="1"/>
  <c r="Q29" i="12" s="1"/>
  <c r="E28" i="12"/>
  <c r="M28" i="12" s="1"/>
  <c r="O28" i="12" s="1"/>
  <c r="Q28" i="12" s="1"/>
  <c r="E27" i="12"/>
  <c r="L27" i="12" s="1"/>
  <c r="O27" i="12" s="1"/>
  <c r="Q27" i="12" s="1"/>
  <c r="E26" i="12"/>
  <c r="M26" i="12" s="1"/>
  <c r="O26" i="12" s="1"/>
  <c r="Q26" i="12" s="1"/>
  <c r="E25" i="12"/>
  <c r="L25" i="12" s="1"/>
  <c r="O25" i="12" s="1"/>
  <c r="Q25" i="12" s="1"/>
  <c r="E24" i="12"/>
  <c r="M24" i="12" s="1"/>
  <c r="O24" i="12" s="1"/>
  <c r="Q24" i="12" s="1"/>
  <c r="E23" i="12"/>
  <c r="L23" i="12" s="1"/>
  <c r="E22" i="12"/>
  <c r="M22" i="12" s="1"/>
  <c r="E21" i="12"/>
  <c r="M21" i="12" s="1"/>
  <c r="E20" i="12"/>
  <c r="L20" i="12" s="1"/>
  <c r="E19" i="12"/>
  <c r="L19" i="12" s="1"/>
  <c r="E18" i="12"/>
  <c r="M18" i="12" s="1"/>
  <c r="E17" i="12"/>
  <c r="L17" i="12" s="1"/>
  <c r="E16" i="12"/>
  <c r="M16" i="12" s="1"/>
  <c r="E15" i="12"/>
  <c r="L15" i="12" s="1"/>
  <c r="O15" i="12" s="1"/>
  <c r="Q15" i="12" s="1"/>
  <c r="E14" i="12"/>
  <c r="M14" i="12" s="1"/>
  <c r="E13" i="12"/>
  <c r="M13" i="12" s="1"/>
  <c r="E12" i="12"/>
  <c r="L12" i="12" s="1"/>
  <c r="E11" i="12"/>
  <c r="M11" i="12" s="1"/>
  <c r="O11" i="12" s="1"/>
  <c r="Q11" i="12" s="1"/>
  <c r="E10" i="12"/>
  <c r="L10" i="12" s="1"/>
  <c r="O10" i="12" s="1"/>
  <c r="Q10" i="12" s="1"/>
  <c r="E9" i="12"/>
  <c r="M9" i="12" s="1"/>
  <c r="O9" i="12" s="1"/>
  <c r="Q9" i="12" s="1"/>
  <c r="E8" i="12"/>
  <c r="L8" i="12" s="1"/>
  <c r="O8" i="12" s="1"/>
  <c r="Q8" i="12" s="1"/>
  <c r="E6" i="12"/>
  <c r="L6" i="12" s="1"/>
  <c r="O6" i="12" s="1"/>
  <c r="Q6" i="12" s="1"/>
  <c r="E5" i="12"/>
  <c r="M5" i="12" s="1"/>
  <c r="O5" i="12" s="1"/>
  <c r="Q5" i="12" s="1"/>
  <c r="E4" i="12"/>
  <c r="L4" i="12" s="1"/>
  <c r="O4" i="12" s="1"/>
  <c r="Q4" i="12" s="1"/>
  <c r="E7" i="12"/>
  <c r="M7" i="12" s="1"/>
  <c r="O7" i="12" s="1"/>
  <c r="Q7" i="12" s="1"/>
  <c r="P3" i="12"/>
  <c r="O3" i="12"/>
  <c r="Q2" i="12"/>
  <c r="O17" i="12"/>
  <c r="Q17" i="12" s="1"/>
  <c r="O16" i="12" l="1"/>
  <c r="Q16" i="12" s="1"/>
  <c r="O22" i="12"/>
  <c r="Q22" i="12" s="1"/>
  <c r="O20" i="12"/>
  <c r="Q20" i="12" s="1"/>
  <c r="Q3" i="12"/>
  <c r="O19" i="12"/>
  <c r="Q19" i="12" s="1"/>
  <c r="O12" i="12"/>
  <c r="Q12" i="12" s="1"/>
  <c r="O13" i="12"/>
  <c r="Q13" i="12" s="1"/>
  <c r="O14" i="12"/>
  <c r="Q14" i="12" s="1"/>
  <c r="O23" i="12"/>
  <c r="Q23" i="12" s="1"/>
  <c r="O21" i="12"/>
  <c r="Q21" i="12" s="1"/>
  <c r="O18" i="12"/>
  <c r="Q18" i="12" s="1"/>
</calcChain>
</file>

<file path=xl/connections.xml><?xml version="1.0" encoding="utf-8"?>
<connections xmlns="http://schemas.openxmlformats.org/spreadsheetml/2006/main">
  <connection id="1" name="agenda" type="4" refreshedVersion="0" background="1">
    <webPr xml="1" sourceData="1" url="C:\Users\rbartola\Documents\WORK\PDM_domestico\catias\agenda.xml" htmlTables="1" htmlFormat="all"/>
  </connection>
  <connection id="2" name="PDMschema" type="4" refreshedVersion="0" background="1">
    <webPr xml="1" sourceData="1" url="C:\Users\rbartola\Documents\WORK\PDMschema.xml" htmlTables="1" htmlFormat="all"/>
  </connection>
  <connection id="3" name="PDMschema - Copia" type="4" refreshedVersion="0" background="1">
    <webPr xml="1" sourceData="1" url="C:\Users\rbartola\Documents\WORK\PDMschema - Copia.xml" htmlTables="1" htmlFormat="all"/>
  </connection>
  <connection id="4" name="PDMschema - Copia1" type="4" refreshedVersion="0" background="1">
    <webPr xml="1" sourceData="1" url="C:\Users\rbartola\Documents\WORK\PDMschema - Copia.xml" htmlTables="1" htmlFormat="all"/>
  </connection>
  <connection id="5" name="PRJList" type="4" refreshedVersion="0" background="1">
    <webPr xml="1" sourceData="1" url="C:\Users\rbartola\Documents\WORK\CAD_001\PRJList.xml" htmlTables="1" htmlFormat="all"/>
  </connection>
  <connection id="6" name="PRJList - Copia" type="4" refreshedVersion="0" background="1">
    <webPr xml="1" sourceData="1" url="C:\Users\rbartola\Documents\WORK\CAD_001\PRJList - Copia.xml" htmlTables="1" htmlFormat="all"/>
  </connection>
  <connection id="7" name="schema" type="4" refreshedVersion="0" background="1">
    <webPr xml="1" sourceData="1" url="C:\Users\rbartola\Downloads\schema.xml" htmlTables="1" htmlFormat="all"/>
  </connection>
</connections>
</file>

<file path=xl/sharedStrings.xml><?xml version="1.0" encoding="utf-8"?>
<sst xmlns="http://schemas.openxmlformats.org/spreadsheetml/2006/main" count="274" uniqueCount="59">
  <si>
    <t>Family_Name</t>
  </si>
  <si>
    <t>PRJ_Name</t>
  </si>
  <si>
    <t>PROD_Name</t>
  </si>
  <si>
    <t>C_Type</t>
  </si>
  <si>
    <t>Component</t>
  </si>
  <si>
    <t>Assembly</t>
  </si>
  <si>
    <t>Part</t>
  </si>
  <si>
    <t>Drawing</t>
  </si>
  <si>
    <t>C_CODE</t>
  </si>
  <si>
    <t>C_REV</t>
  </si>
  <si>
    <t>C_Data</t>
  </si>
  <si>
    <t>C_Status</t>
  </si>
  <si>
    <t>C_Designer</t>
  </si>
  <si>
    <t>C_TwoD</t>
  </si>
  <si>
    <t>C_Three_D</t>
  </si>
  <si>
    <t>Active</t>
  </si>
  <si>
    <t>Bartola</t>
  </si>
  <si>
    <t>A</t>
  </si>
  <si>
    <t>Esporta</t>
  </si>
  <si>
    <t>no_extension</t>
  </si>
  <si>
    <t>01_01_1970</t>
  </si>
  <si>
    <t>Family_01</t>
  </si>
  <si>
    <t>PRJ_01</t>
  </si>
  <si>
    <t>Prod_01</t>
  </si>
  <si>
    <t>project1.CATProduct</t>
  </si>
  <si>
    <t>part001.CATDrawing</t>
  </si>
  <si>
    <t>part001.CATPart</t>
  </si>
  <si>
    <t>part002.CATDrawing</t>
  </si>
  <si>
    <t>part002.CATPart</t>
  </si>
  <si>
    <t>part003.CATDrawing</t>
  </si>
  <si>
    <t>part003.CATPart</t>
  </si>
  <si>
    <t>part004.CATDrawing</t>
  </si>
  <si>
    <t>part004.CATPart</t>
  </si>
  <si>
    <t>Family_02</t>
  </si>
  <si>
    <t>PRJ_02</t>
  </si>
  <si>
    <t>Prod_02</t>
  </si>
  <si>
    <t>project2.CATProduct</t>
  </si>
  <si>
    <t>project1.CATDrawing</t>
  </si>
  <si>
    <t>part005.CATDrawing</t>
  </si>
  <si>
    <t>part005.CATPart</t>
  </si>
  <si>
    <t>part006.CATDrawing</t>
  </si>
  <si>
    <t>part006.CATPart</t>
  </si>
  <si>
    <t>project2.CATDrawing</t>
  </si>
  <si>
    <t>Prod_03</t>
  </si>
  <si>
    <t>PRJ_05</t>
  </si>
  <si>
    <t>Prod_04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</si>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</sst>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PDM">
        <xsd:complexType>
          <xsd:sequence minOccurs="0">
            <xsd:element minOccurs="0" maxOccurs="unbounded" nillable="true" name="Family" form="unqualified">
              <xsd:complexType>
                <xsd:sequence minOccurs="0">
                  <xsd:element minOccurs="0" maxOccurs="unbounded" nillable="true" name="Component" form="unqualified">
                    <xsd:complexType>
                      <xsd:simpleContent>
                        <xsd:extension base="xsd:string">
                          <xsd:attribute name="C_Type" form="unqualified" type="xsd:string"/>
                          <xsd:attribute name="C_CODE" form="unqualified" type="xsd:string"/>
                          <xsd:attribute name="C_REV" form="unqualified" type="xsd:string"/>
                          <xsd:attribute name="C_Data" form="unqualified" type="xsd:string"/>
                          <xsd:attribute name="C_STATUS" form="unqualified" type="xsd:string"/>
                          <xsd:attribute name="C_Designer" form="unqualified" type="xsd:string"/>
                          <xsd:attribute name="C_TwoD" form="unqualified" type="xsd:string"/>
                          <xsd:attribute name="C_Three_D" form="unqualified" type="xsd:string"/>
                        </xsd:extension>
                      </xsd:simpleContent>
                    </xsd:complexType>
                  </xsd:element>
                </xsd:sequence>
                <xsd:attribute name="Family_Name" form="unqualified" type="xsd:string"/>
                <xsd:attribute name="PRJ_Name" form="unqualified" type="xsd:string"/>
                <xsd:attribute name="PROD_Name" form="unqualified" type="xsd:string"/>
              </xsd:complexType>
            </xsd:element>
          </xsd:sequence>
        </xsd:complexType>
      </xsd:element>
    </xsd:schema>
  </Schema>
  <Map ID="7" Name="PDM_mapping" RootElement="PDM" SchemaID="Schema3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0</xdr:rowOff>
        </xdr:from>
        <xdr:to>
          <xdr:col>17</xdr:col>
          <xdr:colOff>561975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export -XML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Q37"/>
  <sheetViews>
    <sheetView tabSelected="1" workbookViewId="0">
      <pane ySplit="1" topLeftCell="A2" activePane="bottomLeft" state="frozen"/>
      <selection pane="bottomLeft" activeCell="E12" sqref="E12"/>
    </sheetView>
  </sheetViews>
  <sheetFormatPr defaultRowHeight="15" x14ac:dyDescent="0.25"/>
  <cols>
    <col min="1" max="1" width="16.42578125" bestFit="1" customWidth="1"/>
    <col min="2" max="2" width="10.28515625" bestFit="1" customWidth="1"/>
    <col min="3" max="3" width="12.28515625" bestFit="1" customWidth="1"/>
    <col min="4" max="4" width="58.5703125" customWidth="1"/>
    <col min="5" max="5" width="17.5703125" customWidth="1"/>
    <col min="6" max="6" width="9.5703125" bestFit="1" customWidth="1"/>
    <col min="8" max="8" width="6.5703125" bestFit="1" customWidth="1"/>
    <col min="9" max="9" width="3" customWidth="1"/>
    <col min="10" max="10" width="8.5703125" bestFit="1" customWidth="1"/>
    <col min="11" max="11" width="11" bestFit="1" customWidth="1"/>
    <col min="12" max="12" width="15.7109375" customWidth="1"/>
    <col min="13" max="13" width="13.85546875" customWidth="1"/>
    <col min="15" max="15" width="9.140625" style="1"/>
  </cols>
  <sheetData>
    <row r="1" spans="1:17" ht="20.25" customHeight="1" x14ac:dyDescent="0.25">
      <c r="A1" t="s">
        <v>0</v>
      </c>
      <c r="B1" t="s">
        <v>1</v>
      </c>
      <c r="C1" t="s">
        <v>2</v>
      </c>
      <c r="D1" t="s">
        <v>4</v>
      </c>
      <c r="E1" s="1" t="s">
        <v>19</v>
      </c>
      <c r="F1" t="s">
        <v>3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Q1" s="3" t="s">
        <v>18</v>
      </c>
    </row>
    <row r="2" spans="1:17" s="2" customFormat="1" x14ac:dyDescent="0.25">
      <c r="Q2" s="2" t="str">
        <f>CONCATENATE("&lt;?xml version=""1.0"" encoding=""UTF-8"" standalone=""yes""?&gt; &lt;PDM&gt;")</f>
        <v>&lt;?xml version="1.0" encoding="UTF-8" standalone="yes"?&gt; &lt;PDM&gt;</v>
      </c>
    </row>
    <row r="3" spans="1:17" s="2" customFormat="1" x14ac:dyDescent="0.25">
      <c r="O3" s="1" t="str">
        <f>CONCATENATE("&lt;Component C_Type="" ",F3," "" C_CODE="" ",G3," "" C_REV="" ",H3," "" C_Data="" ",I3," "" C_STATUS="" ",J3," "" C_Designer="" ",K3," "" C_TwoD="" ",L3," "" C_Three_D="" ",M3," "" &gt; ",D3," &lt;/Component&gt;")</f>
        <v>&lt;Component C_Type="  " C_CODE="  " C_REV="  " C_Data="  " C_STATUS="  " C_Designer="  " C_TwoD="  " C_Three_D="  " &gt;  &lt;/Component&gt;</v>
      </c>
      <c r="P3" s="1" t="str">
        <f>IF(A3&lt;&gt;"",IF(A2&lt;&gt;"",CONCATENATE("&lt;/Family&gt; &lt;Family Family_Name=""",A3,""" PRJ_Name=""",B3,""" PROD_Name=""",C3,""" &gt;"),CONCATENATE("&lt;Family Family_Name=""",A3,""" PRJ_Name=""",B3,""" PROD_Name=""",C3,""" &gt;")),CONCATENATE("&lt;/Family&gt;&lt;/PDM&gt;"))</f>
        <v>&lt;/Family&gt;&lt;/PDM&gt;</v>
      </c>
      <c r="Q3" s="3" t="str">
        <f t="shared" ref="Q3:Q12" si="0">IF(C3=C2,O3,IF(C3&lt;&gt;"",CONCATENATE(P3,O3),P3))</f>
        <v>&lt;Component C_Type="  " C_CODE="  " C_REV="  " C_Data="  " C_STATUS="  " C_Designer="  " C_TwoD="  " C_Three_D="  " &gt;  &lt;/Component&gt;</v>
      </c>
    </row>
    <row r="4" spans="1:17" x14ac:dyDescent="0.25">
      <c r="A4" t="s">
        <v>21</v>
      </c>
      <c r="B4" t="s">
        <v>22</v>
      </c>
      <c r="C4" t="s">
        <v>23</v>
      </c>
      <c r="D4" t="s">
        <v>24</v>
      </c>
      <c r="E4" t="str">
        <f>IF(RIGHT(D4,10)="CATProduct",LEFT(D4,LEN(D4)-11),IF(RIGHT(D4,7)="CATPart",LEFT(D4,LEN(D4)-8),IF(RIGHT(D4,10)="CATDrawing",LEFT(D4,LEN(D4)-11),"")))</f>
        <v>project1</v>
      </c>
      <c r="F4" t="s">
        <v>5</v>
      </c>
      <c r="G4" t="s">
        <v>46</v>
      </c>
      <c r="H4" t="s">
        <v>17</v>
      </c>
      <c r="I4" t="s">
        <v>20</v>
      </c>
      <c r="J4" t="s">
        <v>15</v>
      </c>
      <c r="K4" t="s">
        <v>16</v>
      </c>
      <c r="L4" s="1" t="str">
        <f>CONCATENATE(E4,".CATDrawing")</f>
        <v>project1.CATDrawing</v>
      </c>
      <c r="M4" t="str">
        <f>D4</f>
        <v>project1.CATProduct</v>
      </c>
      <c r="O4" s="1" t="str">
        <f t="shared" ref="O4:O11" si="1">CONCATENATE("&lt;Component C_Type="" ",F4," "" C_CODE="" ",G4," "" C_REV="" ",H4," "" C_Data="" ",I4," "" C_STATUS="" ",J4," "" C_Designer="" ",K4," "" C_TwoD="" ",L4," "" C_Three_D="" ",M4," "" &gt; ",D4," &lt;/Component&gt;")</f>
        <v>&lt;Component C_Type=" Assembly " C_CODE=" A001 " C_REV=" A " C_Data=" 01_01_1970 " C_STATUS=" Active " C_Designer=" Bartola " C_TwoD=" project1.CATDrawing " C_Three_D=" project1.CATProduct " &gt; project1.CATProduct &lt;/Component&gt;</v>
      </c>
      <c r="P4" s="1" t="str">
        <f t="shared" ref="P4:P11" si="2">IF(A4&lt;&gt;"",IF(A3&lt;&gt;"",CONCATENATE("&lt;/Family&gt; &lt;Family Family_Name=""",A4,""" PRJ_Name=""",B4,""" PROD_Name=""",C4,""" &gt;"),CONCATENATE("&lt;Family Family_Name=""",A4,""" PRJ_Name=""",B4,""" PROD_Name=""",C4,""" &gt;")),CONCATENATE("&lt;/Family&gt;&lt;/PDM&gt;"))</f>
        <v>&lt;Family Family_Name="Family_01" PRJ_Name="PRJ_01" PROD_Name="Prod_01" &gt;</v>
      </c>
      <c r="Q4" s="3" t="str">
        <f t="shared" ref="Q4:Q11" si="3">IF(C4=C3,O4,IF(C4&lt;&gt;"",CONCATENATE(P4,O4),P4))</f>
        <v>&lt;Family Family_Name="Family_01" PRJ_Name="PRJ_01" PROD_Name="Prod_01" &gt;&lt;Component C_Type=" Assembly " C_CODE=" A001 " C_REV=" A " C_Data=" 01_01_1970 " C_STATUS=" Active " C_Designer=" Bartola " C_TwoD=" project1.CATDrawing " C_Three_D=" project1.CATProduct " &gt; project1.CATProduct &lt;/Component&gt;</v>
      </c>
    </row>
    <row r="5" spans="1:17" x14ac:dyDescent="0.25">
      <c r="A5" t="s">
        <v>21</v>
      </c>
      <c r="B5" t="s">
        <v>22</v>
      </c>
      <c r="C5" t="s">
        <v>23</v>
      </c>
      <c r="D5" t="s">
        <v>25</v>
      </c>
      <c r="E5" t="str">
        <f>IF(RIGHT(D5,10)="CATProduct",LEFT(D5,LEN(D5)-11),IF(RIGHT(D5,7)="CATPart",LEFT(D5,LEN(D5)-8),IF(RIGHT(D5,10)="CATDrawing",LEFT(D5,LEN(D5)-11),"")))</f>
        <v>part001</v>
      </c>
      <c r="F5" t="s">
        <v>7</v>
      </c>
      <c r="G5" t="s">
        <v>47</v>
      </c>
      <c r="H5" t="s">
        <v>17</v>
      </c>
      <c r="I5" t="s">
        <v>20</v>
      </c>
      <c r="J5" t="s">
        <v>15</v>
      </c>
      <c r="K5" t="s">
        <v>16</v>
      </c>
      <c r="L5" s="1" t="str">
        <f>D5</f>
        <v>part001.CATDrawing</v>
      </c>
      <c r="M5" t="str">
        <f>CONCATENATE(E5,".CATPart")</f>
        <v>part001.CATPart</v>
      </c>
      <c r="O5" s="1" t="str">
        <f t="shared" ref="O5:O30" si="4">CONCATENATE("&lt;Component C_Type="" ",F5," "" C_CODE="" ",G5," "" C_REV="" ",H5," "" C_Data="" ",I5," "" C_STATUS="" ",J5," "" C_Designer="" ",K5," "" C_TwoD="" ",L5," "" C_Three_D="" ",M5," "" &gt; ",D5," &lt;/Component&gt;")</f>
        <v>&lt;Component C_Type=" Drawing " C_CODE=" A002 " C_REV=" A " C_Data=" 01_01_1970 " C_STATUS=" Active " C_Designer=" Bartola " C_TwoD=" part001.CATDrawing " C_Three_D=" part001.CATPart " &gt; part001.CATDrawing &lt;/Component&gt;</v>
      </c>
      <c r="P5" s="1" t="str">
        <f t="shared" ref="P5:P30" si="5">IF(A5&lt;&gt;"",IF(A4&lt;&gt;"",CONCATENATE("&lt;/Family&gt; &lt;Family Family_Name=""",A5,""" PRJ_Name=""",B5,""" PROD_Name=""",C5,""" &gt;"),CONCATENATE("&lt;Family Family_Name=""",A5,""" PRJ_Name=""",B5,""" PROD_Name=""",C5,""" &gt;")),CONCATENATE("&lt;/Family&gt;&lt;/PDM&gt;"))</f>
        <v>&lt;/Family&gt; &lt;Family Family_Name="Family_01" PRJ_Name="PRJ_01" PROD_Name="Prod_01" &gt;</v>
      </c>
      <c r="Q5" s="3" t="str">
        <f t="shared" ref="Q5:Q30" si="6">IF(C5=C4,O5,IF(C5&lt;&gt;"",CONCATENATE(P5,O5),P5))</f>
        <v>&lt;Component C_Type=" Drawing " C_CODE=" A002 " C_REV=" A " C_Data=" 01_01_1970 " C_STATUS=" Active " C_Designer=" Bartola " C_TwoD=" part001.CATDrawing " C_Three_D=" part001.CATPart " &gt; part001.CATDrawing &lt;/Component&gt;</v>
      </c>
    </row>
    <row r="6" spans="1:17" x14ac:dyDescent="0.25">
      <c r="A6" t="s">
        <v>21</v>
      </c>
      <c r="B6" t="s">
        <v>22</v>
      </c>
      <c r="C6" t="s">
        <v>23</v>
      </c>
      <c r="D6" t="s">
        <v>26</v>
      </c>
      <c r="E6" t="str">
        <f>IF(RIGHT(D6,10)="CATProduct",LEFT(D6,LEN(D6)-11),IF(RIGHT(D6,7)="CATPart",LEFT(D6,LEN(D6)-8),IF(RIGHT(D6,10)="CATDrawing",LEFT(D6,LEN(D6)-11),"")))</f>
        <v>part001</v>
      </c>
      <c r="F6" t="s">
        <v>6</v>
      </c>
      <c r="G6" t="s">
        <v>47</v>
      </c>
      <c r="H6" t="s">
        <v>17</v>
      </c>
      <c r="I6" t="s">
        <v>20</v>
      </c>
      <c r="J6" t="s">
        <v>15</v>
      </c>
      <c r="K6" t="s">
        <v>16</v>
      </c>
      <c r="L6" s="1" t="str">
        <f>CONCATENATE(E6,".CATDrawing")</f>
        <v>part001.CATDrawing</v>
      </c>
      <c r="M6" t="str">
        <f>D6</f>
        <v>part001.CATPart</v>
      </c>
      <c r="O6" s="1" t="str">
        <f t="shared" si="4"/>
        <v>&lt;Component C_Type=" Part " C_CODE=" A002 " C_REV=" A " C_Data=" 01_01_1970 " C_STATUS=" Active " C_Designer=" Bartola " C_TwoD=" part001.CATDrawing " C_Three_D=" part001.CATPart " &gt; part001.CATPart &lt;/Component&gt;</v>
      </c>
      <c r="P6" s="1" t="str">
        <f t="shared" si="5"/>
        <v>&lt;/Family&gt; &lt;Family Family_Name="Family_01" PRJ_Name="PRJ_01" PROD_Name="Prod_01" &gt;</v>
      </c>
      <c r="Q6" s="3" t="str">
        <f t="shared" si="6"/>
        <v>&lt;Component C_Type=" Part " C_CODE=" A002 " C_REV=" A " C_Data=" 01_01_1970 " C_STATUS=" Active " C_Designer=" Bartola " C_TwoD=" part001.CATDrawing " C_Three_D=" part001.CATPart " &gt; part001.CATPart &lt;/Component&gt;</v>
      </c>
    </row>
    <row r="7" spans="1:17" x14ac:dyDescent="0.25">
      <c r="A7" t="s">
        <v>21</v>
      </c>
      <c r="B7" t="s">
        <v>22</v>
      </c>
      <c r="C7" t="s">
        <v>23</v>
      </c>
      <c r="D7" t="s">
        <v>27</v>
      </c>
      <c r="E7" t="str">
        <f>IF(RIGHT(D7,10)="CATProduct",LEFT(D7,LEN(D7)-11),IF(RIGHT(D7,7)="CATPart",LEFT(D7,LEN(D7)-8),IF(RIGHT(D7,10)="CATDrawing",LEFT(D7,LEN(D7)-11),"")))</f>
        <v>part002</v>
      </c>
      <c r="F7" t="s">
        <v>7</v>
      </c>
      <c r="G7" t="s">
        <v>48</v>
      </c>
      <c r="H7" t="s">
        <v>17</v>
      </c>
      <c r="I7" t="s">
        <v>20</v>
      </c>
      <c r="J7" t="s">
        <v>15</v>
      </c>
      <c r="K7" t="s">
        <v>16</v>
      </c>
      <c r="L7" s="1" t="str">
        <f>D7</f>
        <v>part002.CATDrawing</v>
      </c>
      <c r="M7" t="str">
        <f>CONCATENATE(E7,".CATPart")</f>
        <v>part002.CATPart</v>
      </c>
      <c r="O7" s="1" t="str">
        <f t="shared" si="4"/>
        <v>&lt;Component C_Type=" Drawing " C_CODE=" A003 " C_REV=" A " C_Data=" 01_01_1970 " C_STATUS=" Active " C_Designer=" Bartola " C_TwoD=" part002.CATDrawing " C_Three_D=" part002.CATPart " &gt; part002.CATDrawing &lt;/Component&gt;</v>
      </c>
      <c r="P7" s="1" t="str">
        <f t="shared" si="5"/>
        <v>&lt;/Family&gt; &lt;Family Family_Name="Family_01" PRJ_Name="PRJ_01" PROD_Name="Prod_01" &gt;</v>
      </c>
      <c r="Q7" s="3" t="str">
        <f t="shared" si="6"/>
        <v>&lt;Component C_Type=" Drawing " C_CODE=" A003 " C_REV=" A " C_Data=" 01_01_1970 " C_STATUS=" Active " C_Designer=" Bartola " C_TwoD=" part002.CATDrawing " C_Three_D=" part002.CATPart " &gt; part002.CATDrawing &lt;/Component&gt;</v>
      </c>
    </row>
    <row r="8" spans="1:17" x14ac:dyDescent="0.25">
      <c r="A8" t="s">
        <v>21</v>
      </c>
      <c r="B8" t="s">
        <v>22</v>
      </c>
      <c r="C8" t="s">
        <v>23</v>
      </c>
      <c r="D8" t="s">
        <v>28</v>
      </c>
      <c r="E8" t="str">
        <f t="shared" ref="E8:E29" si="7">IF(RIGHT(D8,10)="CATProduct",LEFT(D8,LEN(D8)-11),IF(RIGHT(D8,7)="CATPart",LEFT(D8,LEN(D8)-8),IF(RIGHT(D8,10)="CATDrawing",LEFT(D8,LEN(D8)-11),"")))</f>
        <v>part002</v>
      </c>
      <c r="F8" t="s">
        <v>6</v>
      </c>
      <c r="G8" t="s">
        <v>48</v>
      </c>
      <c r="H8" t="s">
        <v>17</v>
      </c>
      <c r="I8" t="s">
        <v>20</v>
      </c>
      <c r="J8" t="s">
        <v>15</v>
      </c>
      <c r="K8" t="s">
        <v>16</v>
      </c>
      <c r="L8" s="1" t="str">
        <f>CONCATENATE(E8,".CATDrawing")</f>
        <v>part002.CATDrawing</v>
      </c>
      <c r="M8" t="str">
        <f>D8</f>
        <v>part002.CATPart</v>
      </c>
      <c r="O8" s="1" t="str">
        <f t="shared" si="4"/>
        <v>&lt;Component C_Type=" Part " C_CODE=" A003 " C_REV=" A " C_Data=" 01_01_1970 " C_STATUS=" Active " C_Designer=" Bartola " C_TwoD=" part002.CATDrawing " C_Three_D=" part002.CATPart " &gt; part002.CATPart &lt;/Component&gt;</v>
      </c>
      <c r="P8" s="1" t="str">
        <f t="shared" si="5"/>
        <v>&lt;/Family&gt; &lt;Family Family_Name="Family_01" PRJ_Name="PRJ_01" PROD_Name="Prod_01" &gt;</v>
      </c>
      <c r="Q8" s="3" t="str">
        <f t="shared" si="6"/>
        <v>&lt;Component C_Type=" Part " C_CODE=" A003 " C_REV=" A " C_Data=" 01_01_1970 " C_STATUS=" Active " C_Designer=" Bartola " C_TwoD=" part002.CATDrawing " C_Three_D=" part002.CATPart " &gt; part002.CATPart &lt;/Component&gt;</v>
      </c>
    </row>
    <row r="9" spans="1:17" x14ac:dyDescent="0.25">
      <c r="A9" t="s">
        <v>21</v>
      </c>
      <c r="B9" t="s">
        <v>22</v>
      </c>
      <c r="C9" t="s">
        <v>23</v>
      </c>
      <c r="D9" t="s">
        <v>29</v>
      </c>
      <c r="E9" t="str">
        <f t="shared" si="7"/>
        <v>part003</v>
      </c>
      <c r="F9" t="s">
        <v>7</v>
      </c>
      <c r="G9" t="s">
        <v>49</v>
      </c>
      <c r="H9" t="s">
        <v>17</v>
      </c>
      <c r="I9" t="s">
        <v>20</v>
      </c>
      <c r="J9" t="s">
        <v>15</v>
      </c>
      <c r="K9" t="s">
        <v>16</v>
      </c>
      <c r="L9" s="1" t="str">
        <f>D9</f>
        <v>part003.CATDrawing</v>
      </c>
      <c r="M9" t="str">
        <f>CONCATENATE(E9,".CATPart")</f>
        <v>part003.CATPart</v>
      </c>
      <c r="O9" s="1" t="str">
        <f t="shared" si="4"/>
        <v>&lt;Component C_Type=" Drawing " C_CODE=" A004 " C_REV=" A " C_Data=" 01_01_1970 " C_STATUS=" Active " C_Designer=" Bartola " C_TwoD=" part003.CATDrawing " C_Three_D=" part003.CATPart " &gt; part003.CATDrawing &lt;/Component&gt;</v>
      </c>
      <c r="P9" s="1" t="str">
        <f t="shared" si="5"/>
        <v>&lt;/Family&gt; &lt;Family Family_Name="Family_01" PRJ_Name="PRJ_01" PROD_Name="Prod_01" &gt;</v>
      </c>
      <c r="Q9" s="3" t="str">
        <f t="shared" si="6"/>
        <v>&lt;Component C_Type=" Drawing " C_CODE=" A004 " C_REV=" A " C_Data=" 01_01_1970 " C_STATUS=" Active " C_Designer=" Bartola " C_TwoD=" part003.CATDrawing " C_Three_D=" part003.CATPart " &gt; part003.CATDrawing &lt;/Component&gt;</v>
      </c>
    </row>
    <row r="10" spans="1:17" x14ac:dyDescent="0.25">
      <c r="A10" t="s">
        <v>21</v>
      </c>
      <c r="B10" t="s">
        <v>22</v>
      </c>
      <c r="C10" t="s">
        <v>23</v>
      </c>
      <c r="D10" t="s">
        <v>30</v>
      </c>
      <c r="E10" t="str">
        <f t="shared" si="7"/>
        <v>part003</v>
      </c>
      <c r="F10" t="s">
        <v>6</v>
      </c>
      <c r="G10" t="s">
        <v>49</v>
      </c>
      <c r="H10" t="s">
        <v>17</v>
      </c>
      <c r="I10" t="s">
        <v>20</v>
      </c>
      <c r="J10" t="s">
        <v>15</v>
      </c>
      <c r="K10" t="s">
        <v>16</v>
      </c>
      <c r="L10" s="1" t="str">
        <f>CONCATENATE(E10,".CATDrawing")</f>
        <v>part003.CATDrawing</v>
      </c>
      <c r="M10" t="str">
        <f>D10</f>
        <v>part003.CATPart</v>
      </c>
      <c r="O10" s="1" t="str">
        <f t="shared" si="4"/>
        <v>&lt;Component C_Type=" Part " C_CODE=" A004 " C_REV=" A " C_Data=" 01_01_1970 " C_STATUS=" Active " C_Designer=" Bartola " C_TwoD=" part003.CATDrawing " C_Three_D=" part003.CATPart " &gt; part003.CATPart &lt;/Component&gt;</v>
      </c>
      <c r="P10" s="1" t="str">
        <f t="shared" si="5"/>
        <v>&lt;/Family&gt; &lt;Family Family_Name="Family_01" PRJ_Name="PRJ_01" PROD_Name="Prod_01" &gt;</v>
      </c>
      <c r="Q10" s="3" t="str">
        <f t="shared" si="6"/>
        <v>&lt;Component C_Type=" Part " C_CODE=" A004 " C_REV=" A " C_Data=" 01_01_1970 " C_STATUS=" Active " C_Designer=" Bartola " C_TwoD=" part003.CATDrawing " C_Three_D=" part003.CATPart " &gt; part003.CATPart &lt;/Component&gt;</v>
      </c>
    </row>
    <row r="11" spans="1:17" x14ac:dyDescent="0.25">
      <c r="A11" t="s">
        <v>21</v>
      </c>
      <c r="B11" t="s">
        <v>22</v>
      </c>
      <c r="C11" t="s">
        <v>23</v>
      </c>
      <c r="D11" t="s">
        <v>31</v>
      </c>
      <c r="E11" t="str">
        <f t="shared" si="7"/>
        <v>part004</v>
      </c>
      <c r="F11" t="s">
        <v>7</v>
      </c>
      <c r="G11" t="s">
        <v>50</v>
      </c>
      <c r="H11" t="s">
        <v>17</v>
      </c>
      <c r="I11" t="s">
        <v>20</v>
      </c>
      <c r="J11" t="s">
        <v>15</v>
      </c>
      <c r="K11" t="s">
        <v>16</v>
      </c>
      <c r="L11" s="1" t="str">
        <f>D11</f>
        <v>part004.CATDrawing</v>
      </c>
      <c r="M11" t="str">
        <f>CONCATENATE(E11,".CATPart")</f>
        <v>part004.CATPart</v>
      </c>
      <c r="O11" s="1" t="str">
        <f t="shared" si="4"/>
        <v>&lt;Component C_Type=" Drawing " C_CODE=" A005 " C_REV=" A " C_Data=" 01_01_1970 " C_STATUS=" Active " C_Designer=" Bartola " C_TwoD=" part004.CATDrawing " C_Three_D=" part004.CATPart " &gt; part004.CATDrawing &lt;/Component&gt;</v>
      </c>
      <c r="P11" s="1" t="str">
        <f t="shared" si="5"/>
        <v>&lt;/Family&gt; &lt;Family Family_Name="Family_01" PRJ_Name="PRJ_01" PROD_Name="Prod_01" &gt;</v>
      </c>
      <c r="Q11" s="3" t="str">
        <f t="shared" si="6"/>
        <v>&lt;Component C_Type=" Drawing " C_CODE=" A005 " C_REV=" A " C_Data=" 01_01_1970 " C_STATUS=" Active " C_Designer=" Bartola " C_TwoD=" part004.CATDrawing " C_Three_D=" part004.CATPart " &gt; part004.CATDrawing &lt;/Component&gt;</v>
      </c>
    </row>
    <row r="12" spans="1:17" x14ac:dyDescent="0.25">
      <c r="A12" t="s">
        <v>21</v>
      </c>
      <c r="B12" t="s">
        <v>22</v>
      </c>
      <c r="C12" t="s">
        <v>23</v>
      </c>
      <c r="D12" t="s">
        <v>32</v>
      </c>
      <c r="E12" t="str">
        <f t="shared" si="7"/>
        <v>part004</v>
      </c>
      <c r="F12" t="s">
        <v>6</v>
      </c>
      <c r="G12" t="s">
        <v>50</v>
      </c>
      <c r="H12" t="s">
        <v>17</v>
      </c>
      <c r="I12" t="s">
        <v>20</v>
      </c>
      <c r="J12" t="s">
        <v>15</v>
      </c>
      <c r="K12" t="s">
        <v>16</v>
      </c>
      <c r="L12" s="1" t="str">
        <f>CONCATENATE(E12,".CATDrawing")</f>
        <v>part004.CATDrawing</v>
      </c>
      <c r="M12" t="str">
        <f>D12</f>
        <v>part004.CATPart</v>
      </c>
      <c r="O12" s="1" t="str">
        <f t="shared" si="4"/>
        <v>&lt;Component C_Type=" Part " C_CODE=" A005 " C_REV=" A " C_Data=" 01_01_1970 " C_STATUS=" Active " C_Designer=" Bartola " C_TwoD=" part004.CATDrawing " C_Three_D=" part004.CATPart " &gt; part004.CATPart &lt;/Component&gt;</v>
      </c>
      <c r="P12" s="1" t="str">
        <f t="shared" si="5"/>
        <v>&lt;/Family&gt; &lt;Family Family_Name="Family_01" PRJ_Name="PRJ_01" PROD_Name="Prod_01" &gt;</v>
      </c>
      <c r="Q12" s="3" t="str">
        <f t="shared" si="6"/>
        <v>&lt;Component C_Type=" Part " C_CODE=" A005 " C_REV=" A " C_Data=" 01_01_1970 " C_STATUS=" Active " C_Designer=" Bartola " C_TwoD=" part004.CATDrawing " C_Three_D=" part004.CATPart " &gt; part004.CATPart &lt;/Component&gt;</v>
      </c>
    </row>
    <row r="13" spans="1:17" x14ac:dyDescent="0.25">
      <c r="A13" t="s">
        <v>21</v>
      </c>
      <c r="B13" t="s">
        <v>22</v>
      </c>
      <c r="C13" t="s">
        <v>23</v>
      </c>
      <c r="D13" t="s">
        <v>37</v>
      </c>
      <c r="E13" t="str">
        <f t="shared" si="7"/>
        <v>project1</v>
      </c>
      <c r="F13" t="s">
        <v>7</v>
      </c>
      <c r="G13" t="s">
        <v>46</v>
      </c>
      <c r="H13" t="s">
        <v>17</v>
      </c>
      <c r="I13" t="s">
        <v>20</v>
      </c>
      <c r="J13" t="s">
        <v>15</v>
      </c>
      <c r="K13" t="s">
        <v>16</v>
      </c>
      <c r="L13" s="1" t="str">
        <f t="shared" ref="L13:L14" si="8">D13</f>
        <v>project1.CATDrawing</v>
      </c>
      <c r="M13" t="str">
        <f>CONCATENATE(E13,".CATProduct")</f>
        <v>project1.CATProduct</v>
      </c>
      <c r="O13" s="1" t="str">
        <f t="shared" si="4"/>
        <v>&lt;Component C_Type=" Drawing " C_CODE=" A001 " C_REV=" A " C_Data=" 01_01_1970 " C_STATUS=" Active " C_Designer=" Bartola " C_TwoD=" project1.CATDrawing " C_Three_D=" project1.CATProduct " &gt; project1.CATDrawing &lt;/Component&gt;</v>
      </c>
      <c r="P13" s="1" t="str">
        <f t="shared" si="5"/>
        <v>&lt;/Family&gt; &lt;Family Family_Name="Family_01" PRJ_Name="PRJ_01" PROD_Name="Prod_01" &gt;</v>
      </c>
      <c r="Q13" s="3" t="str">
        <f t="shared" si="6"/>
        <v>&lt;Component C_Type=" Drawing " C_CODE=" A001 " C_REV=" A " C_Data=" 01_01_1970 " C_STATUS=" Active " C_Designer=" Bartola " C_TwoD=" project1.CATDrawing " C_Three_D=" project1.CATProduct " &gt; project1.CATDrawing &lt;/Component&gt;</v>
      </c>
    </row>
    <row r="14" spans="1:17" x14ac:dyDescent="0.25">
      <c r="A14" t="s">
        <v>21</v>
      </c>
      <c r="B14" t="s">
        <v>22</v>
      </c>
      <c r="C14" t="s">
        <v>35</v>
      </c>
      <c r="D14" t="s">
        <v>29</v>
      </c>
      <c r="E14" t="str">
        <f t="shared" si="7"/>
        <v>part003</v>
      </c>
      <c r="F14" t="s">
        <v>7</v>
      </c>
      <c r="G14" t="s">
        <v>51</v>
      </c>
      <c r="H14" t="s">
        <v>17</v>
      </c>
      <c r="I14" t="s">
        <v>20</v>
      </c>
      <c r="J14" t="s">
        <v>15</v>
      </c>
      <c r="K14" t="s">
        <v>16</v>
      </c>
      <c r="L14" s="1" t="str">
        <f t="shared" si="8"/>
        <v>part003.CATDrawing</v>
      </c>
      <c r="M14" t="str">
        <f>CONCATENATE(E14,".CATPart")</f>
        <v>part003.CATPart</v>
      </c>
      <c r="O14" s="1" t="str">
        <f t="shared" si="4"/>
        <v>&lt;Component C_Type=" Drawing " C_CODE=" A006 " C_REV=" A " C_Data=" 01_01_1970 " C_STATUS=" Active " C_Designer=" Bartola " C_TwoD=" part003.CATDrawing " C_Three_D=" part003.CATPart " &gt; part003.CATDrawing &lt;/Component&gt;</v>
      </c>
      <c r="P14" s="1" t="str">
        <f t="shared" si="5"/>
        <v>&lt;/Family&gt; &lt;Family Family_Name="Family_01" PRJ_Name="PRJ_01" PROD_Name="Prod_02" &gt;</v>
      </c>
      <c r="Q14" s="3" t="str">
        <f t="shared" si="6"/>
        <v>&lt;/Family&gt; &lt;Family Family_Name="Family_01" PRJ_Name="PRJ_01" PROD_Name="Prod_02" &gt;&lt;Component C_Type=" Drawing " C_CODE=" A006 " C_REV=" A " C_Data=" 01_01_1970 " C_STATUS=" Active " C_Designer=" Bartola " C_TwoD=" part003.CATDrawing " C_Three_D=" part003.CATPart " &gt; part003.CATDrawing &lt;/Component&gt;</v>
      </c>
    </row>
    <row r="15" spans="1:17" x14ac:dyDescent="0.25">
      <c r="A15" t="s">
        <v>21</v>
      </c>
      <c r="B15" t="s">
        <v>22</v>
      </c>
      <c r="C15" t="s">
        <v>35</v>
      </c>
      <c r="D15" t="s">
        <v>30</v>
      </c>
      <c r="E15" t="str">
        <f t="shared" si="7"/>
        <v>part003</v>
      </c>
      <c r="F15" t="s">
        <v>6</v>
      </c>
      <c r="G15" t="s">
        <v>51</v>
      </c>
      <c r="H15" t="s">
        <v>17</v>
      </c>
      <c r="I15" t="s">
        <v>20</v>
      </c>
      <c r="J15" t="s">
        <v>15</v>
      </c>
      <c r="K15" t="s">
        <v>16</v>
      </c>
      <c r="L15" s="1" t="str">
        <f>CONCATENATE(E15,".CATDrawing")</f>
        <v>part003.CATDrawing</v>
      </c>
      <c r="M15" t="str">
        <f>D15</f>
        <v>part003.CATPart</v>
      </c>
      <c r="O15" s="1" t="str">
        <f t="shared" si="4"/>
        <v>&lt;Component C_Type=" Part " C_CODE=" A006 " C_REV=" A " C_Data=" 01_01_1970 " C_STATUS=" Active " C_Designer=" Bartola " C_TwoD=" part003.CATDrawing " C_Three_D=" part003.CATPart " &gt; part003.CATPart &lt;/Component&gt;</v>
      </c>
      <c r="P15" s="1" t="str">
        <f t="shared" si="5"/>
        <v>&lt;/Family&gt; &lt;Family Family_Name="Family_01" PRJ_Name="PRJ_01" PROD_Name="Prod_02" &gt;</v>
      </c>
      <c r="Q15" s="3" t="str">
        <f t="shared" si="6"/>
        <v>&lt;Component C_Type=" Part " C_CODE=" A006 " C_REV=" A " C_Data=" 01_01_1970 " C_STATUS=" Active " C_Designer=" Bartola " C_TwoD=" part003.CATDrawing " C_Three_D=" part003.CATPart " &gt; part003.CATPart &lt;/Component&gt;</v>
      </c>
    </row>
    <row r="16" spans="1:17" x14ac:dyDescent="0.25">
      <c r="A16" t="s">
        <v>21</v>
      </c>
      <c r="B16" t="s">
        <v>22</v>
      </c>
      <c r="C16" t="s">
        <v>35</v>
      </c>
      <c r="D16" t="s">
        <v>31</v>
      </c>
      <c r="E16" t="str">
        <f t="shared" si="7"/>
        <v>part004</v>
      </c>
      <c r="F16" t="s">
        <v>7</v>
      </c>
      <c r="G16" t="s">
        <v>52</v>
      </c>
      <c r="H16" t="s">
        <v>17</v>
      </c>
      <c r="I16" t="s">
        <v>20</v>
      </c>
      <c r="J16" t="s">
        <v>15</v>
      </c>
      <c r="K16" t="s">
        <v>16</v>
      </c>
      <c r="L16" s="1" t="str">
        <f>D16</f>
        <v>part004.CATDrawing</v>
      </c>
      <c r="M16" t="str">
        <f>CONCATENATE(E16,".CATPart")</f>
        <v>part004.CATPart</v>
      </c>
      <c r="O16" s="1" t="str">
        <f t="shared" si="4"/>
        <v>&lt;Component C_Type=" Drawing " C_CODE=" A007 " C_REV=" A " C_Data=" 01_01_1970 " C_STATUS=" Active " C_Designer=" Bartola " C_TwoD=" part004.CATDrawing " C_Three_D=" part004.CATPart " &gt; part004.CATDrawing &lt;/Component&gt;</v>
      </c>
      <c r="P16" s="1" t="str">
        <f t="shared" si="5"/>
        <v>&lt;/Family&gt; &lt;Family Family_Name="Family_01" PRJ_Name="PRJ_01" PROD_Name="Prod_02" &gt;</v>
      </c>
      <c r="Q16" s="3" t="str">
        <f t="shared" si="6"/>
        <v>&lt;Component C_Type=" Drawing " C_CODE=" A007 " C_REV=" A " C_Data=" 01_01_1970 " C_STATUS=" Active " C_Designer=" Bartola " C_TwoD=" part004.CATDrawing " C_Three_D=" part004.CATPart " &gt; part004.CATDrawing &lt;/Component&gt;</v>
      </c>
    </row>
    <row r="17" spans="1:17" x14ac:dyDescent="0.25">
      <c r="A17" t="s">
        <v>21</v>
      </c>
      <c r="B17" t="s">
        <v>22</v>
      </c>
      <c r="C17" t="s">
        <v>35</v>
      </c>
      <c r="D17" t="s">
        <v>32</v>
      </c>
      <c r="E17" t="str">
        <f t="shared" si="7"/>
        <v>part004</v>
      </c>
      <c r="F17" t="s">
        <v>6</v>
      </c>
      <c r="G17" t="s">
        <v>52</v>
      </c>
      <c r="H17" t="s">
        <v>17</v>
      </c>
      <c r="I17" t="s">
        <v>20</v>
      </c>
      <c r="J17" t="s">
        <v>15</v>
      </c>
      <c r="K17" t="s">
        <v>16</v>
      </c>
      <c r="L17" s="1" t="str">
        <f>CONCATENATE(E17,".CATDrawing")</f>
        <v>part004.CATDrawing</v>
      </c>
      <c r="M17" t="str">
        <f>D17</f>
        <v>part004.CATPart</v>
      </c>
      <c r="O17" s="1" t="str">
        <f t="shared" si="4"/>
        <v>&lt;Component C_Type=" Part " C_CODE=" A007 " C_REV=" A " C_Data=" 01_01_1970 " C_STATUS=" Active " C_Designer=" Bartola " C_TwoD=" part004.CATDrawing " C_Three_D=" part004.CATPart " &gt; part004.CATPart &lt;/Component&gt;</v>
      </c>
      <c r="P17" s="1" t="str">
        <f t="shared" si="5"/>
        <v>&lt;/Family&gt; &lt;Family Family_Name="Family_01" PRJ_Name="PRJ_01" PROD_Name="Prod_02" &gt;</v>
      </c>
      <c r="Q17" s="3" t="str">
        <f t="shared" si="6"/>
        <v>&lt;Component C_Type=" Part " C_CODE=" A007 " C_REV=" A " C_Data=" 01_01_1970 " C_STATUS=" Active " C_Designer=" Bartola " C_TwoD=" part004.CATDrawing " C_Three_D=" part004.CATPart " &gt; part004.CATPart &lt;/Component&gt;</v>
      </c>
    </row>
    <row r="18" spans="1:17" x14ac:dyDescent="0.25">
      <c r="A18" t="s">
        <v>21</v>
      </c>
      <c r="B18" t="s">
        <v>34</v>
      </c>
      <c r="C18" t="s">
        <v>43</v>
      </c>
      <c r="D18" t="s">
        <v>31</v>
      </c>
      <c r="E18" t="str">
        <f t="shared" si="7"/>
        <v>part004</v>
      </c>
      <c r="F18" t="s">
        <v>7</v>
      </c>
      <c r="G18" t="s">
        <v>53</v>
      </c>
      <c r="H18" t="s">
        <v>17</v>
      </c>
      <c r="I18" t="s">
        <v>20</v>
      </c>
      <c r="J18" t="s">
        <v>15</v>
      </c>
      <c r="K18" t="s">
        <v>16</v>
      </c>
      <c r="L18" s="1" t="str">
        <f>D18</f>
        <v>part004.CATDrawing</v>
      </c>
      <c r="M18" t="str">
        <f>CONCATENATE(E18,".CATPart")</f>
        <v>part004.CATPart</v>
      </c>
      <c r="O18" s="1" t="str">
        <f t="shared" si="4"/>
        <v>&lt;Component C_Type=" Drawing " C_CODE=" A008 " C_REV=" A " C_Data=" 01_01_1970 " C_STATUS=" Active " C_Designer=" Bartola " C_TwoD=" part004.CATDrawing " C_Three_D=" part004.CATPart " &gt; part004.CATDrawing &lt;/Component&gt;</v>
      </c>
      <c r="P18" s="1" t="str">
        <f t="shared" si="5"/>
        <v>&lt;/Family&gt; &lt;Family Family_Name="Family_01" PRJ_Name="PRJ_02" PROD_Name="Prod_03" &gt;</v>
      </c>
      <c r="Q18" s="3" t="str">
        <f t="shared" si="6"/>
        <v>&lt;/Family&gt; &lt;Family Family_Name="Family_01" PRJ_Name="PRJ_02" PROD_Name="Prod_03" &gt;&lt;Component C_Type=" Drawing " C_CODE=" A008 " C_REV=" A " C_Data=" 01_01_1970 " C_STATUS=" Active " C_Designer=" Bartola " C_TwoD=" part004.CATDrawing " C_Three_D=" part004.CATPart " &gt; part004.CATDrawing &lt;/Component&gt;</v>
      </c>
    </row>
    <row r="19" spans="1:17" x14ac:dyDescent="0.25">
      <c r="A19" t="s">
        <v>21</v>
      </c>
      <c r="B19" t="s">
        <v>34</v>
      </c>
      <c r="C19" t="s">
        <v>43</v>
      </c>
      <c r="D19" t="s">
        <v>32</v>
      </c>
      <c r="E19" t="str">
        <f t="shared" si="7"/>
        <v>part004</v>
      </c>
      <c r="F19" t="s">
        <v>6</v>
      </c>
      <c r="G19" t="s">
        <v>53</v>
      </c>
      <c r="H19" t="s">
        <v>17</v>
      </c>
      <c r="I19" t="s">
        <v>20</v>
      </c>
      <c r="J19" t="s">
        <v>15</v>
      </c>
      <c r="K19" t="s">
        <v>16</v>
      </c>
      <c r="L19" s="1" t="str">
        <f t="shared" ref="L19:L20" si="9">CONCATENATE(E19,".CATDrawing")</f>
        <v>part004.CATDrawing</v>
      </c>
      <c r="M19" t="str">
        <f>D19</f>
        <v>part004.CATPart</v>
      </c>
      <c r="O19" s="1" t="str">
        <f t="shared" si="4"/>
        <v>&lt;Component C_Type=" Part " C_CODE=" A008 " C_REV=" A " C_Data=" 01_01_1970 " C_STATUS=" Active " C_Designer=" Bartola " C_TwoD=" part004.CATDrawing " C_Three_D=" part004.CATPart " &gt; part004.CATPart &lt;/Component&gt;</v>
      </c>
      <c r="P19" s="1" t="str">
        <f t="shared" si="5"/>
        <v>&lt;/Family&gt; &lt;Family Family_Name="Family_01" PRJ_Name="PRJ_02" PROD_Name="Prod_03" &gt;</v>
      </c>
      <c r="Q19" s="3" t="str">
        <f t="shared" si="6"/>
        <v>&lt;Component C_Type=" Part " C_CODE=" A008 " C_REV=" A " C_Data=" 01_01_1970 " C_STATUS=" Active " C_Designer=" Bartola " C_TwoD=" part004.CATDrawing " C_Three_D=" part004.CATPart " &gt; part004.CATPart &lt;/Component&gt;</v>
      </c>
    </row>
    <row r="20" spans="1:17" x14ac:dyDescent="0.25">
      <c r="A20" t="s">
        <v>33</v>
      </c>
      <c r="B20" t="s">
        <v>44</v>
      </c>
      <c r="C20" t="s">
        <v>45</v>
      </c>
      <c r="D20" t="s">
        <v>36</v>
      </c>
      <c r="E20" t="str">
        <f t="shared" si="7"/>
        <v>project2</v>
      </c>
      <c r="F20" t="s">
        <v>5</v>
      </c>
      <c r="G20" t="s">
        <v>54</v>
      </c>
      <c r="H20" t="s">
        <v>17</v>
      </c>
      <c r="I20" t="s">
        <v>20</v>
      </c>
      <c r="J20" t="s">
        <v>15</v>
      </c>
      <c r="K20" t="s">
        <v>16</v>
      </c>
      <c r="L20" s="1" t="str">
        <f t="shared" si="9"/>
        <v>project2.CATDrawing</v>
      </c>
      <c r="M20" t="str">
        <f>D20</f>
        <v>project2.CATProduct</v>
      </c>
      <c r="O20" s="1" t="str">
        <f t="shared" si="4"/>
        <v>&lt;Component C_Type=" Assembly " C_CODE=" A009 " C_REV=" A " C_Data=" 01_01_1970 " C_STATUS=" Active " C_Designer=" Bartola " C_TwoD=" project2.CATDrawing " C_Three_D=" project2.CATProduct " &gt; project2.CATProduct &lt;/Component&gt;</v>
      </c>
      <c r="P20" s="1" t="str">
        <f t="shared" si="5"/>
        <v>&lt;/Family&gt; &lt;Family Family_Name="Family_02" PRJ_Name="PRJ_05" PROD_Name="Prod_04" &gt;</v>
      </c>
      <c r="Q20" s="3" t="str">
        <f t="shared" si="6"/>
        <v>&lt;/Family&gt; &lt;Family Family_Name="Family_02" PRJ_Name="PRJ_05" PROD_Name="Prod_04" &gt;&lt;Component C_Type=" Assembly " C_CODE=" A009 " C_REV=" A " C_Data=" 01_01_1970 " C_STATUS=" Active " C_Designer=" Bartola " C_TwoD=" project2.CATDrawing " C_Three_D=" project2.CATProduct " &gt; project2.CATProduct &lt;/Component&gt;</v>
      </c>
    </row>
    <row r="21" spans="1:17" x14ac:dyDescent="0.25">
      <c r="A21" t="s">
        <v>33</v>
      </c>
      <c r="B21" t="s">
        <v>44</v>
      </c>
      <c r="C21" t="s">
        <v>45</v>
      </c>
      <c r="D21" t="s">
        <v>42</v>
      </c>
      <c r="E21" t="str">
        <f t="shared" si="7"/>
        <v>project2</v>
      </c>
      <c r="F21" t="s">
        <v>7</v>
      </c>
      <c r="G21" t="s">
        <v>54</v>
      </c>
      <c r="H21" t="s">
        <v>17</v>
      </c>
      <c r="I21" t="s">
        <v>20</v>
      </c>
      <c r="J21" t="s">
        <v>15</v>
      </c>
      <c r="K21" t="s">
        <v>16</v>
      </c>
      <c r="L21" s="1" t="str">
        <f t="shared" ref="L21:L22" si="10">D21</f>
        <v>project2.CATDrawing</v>
      </c>
      <c r="M21" t="str">
        <f>CONCATENATE(E21,".CATProduct")</f>
        <v>project2.CATProduct</v>
      </c>
      <c r="O21" s="1" t="str">
        <f t="shared" si="4"/>
        <v>&lt;Component C_Type=" Drawing " C_CODE=" A009 " C_REV=" A " C_Data=" 01_01_1970 " C_STATUS=" Active " C_Designer=" Bartola " C_TwoD=" project2.CATDrawing " C_Three_D=" project2.CATProduct " &gt; project2.CATDrawing &lt;/Component&gt;</v>
      </c>
      <c r="P21" s="1" t="str">
        <f t="shared" si="5"/>
        <v>&lt;/Family&gt; &lt;Family Family_Name="Family_02" PRJ_Name="PRJ_05" PROD_Name="Prod_04" &gt;</v>
      </c>
      <c r="Q21" s="3" t="str">
        <f t="shared" si="6"/>
        <v>&lt;Component C_Type=" Drawing " C_CODE=" A009 " C_REV=" A " C_Data=" 01_01_1970 " C_STATUS=" Active " C_Designer=" Bartola " C_TwoD=" project2.CATDrawing " C_Three_D=" project2.CATProduct " &gt; project2.CATDrawing &lt;/Component&gt;</v>
      </c>
    </row>
    <row r="22" spans="1:17" x14ac:dyDescent="0.25">
      <c r="A22" t="s">
        <v>33</v>
      </c>
      <c r="B22" t="s">
        <v>44</v>
      </c>
      <c r="C22" t="s">
        <v>45</v>
      </c>
      <c r="D22" t="s">
        <v>38</v>
      </c>
      <c r="E22" t="str">
        <f t="shared" si="7"/>
        <v>part005</v>
      </c>
      <c r="F22" t="s">
        <v>7</v>
      </c>
      <c r="G22" t="s">
        <v>55</v>
      </c>
      <c r="H22" t="s">
        <v>17</v>
      </c>
      <c r="I22" t="s">
        <v>20</v>
      </c>
      <c r="J22" t="s">
        <v>15</v>
      </c>
      <c r="K22" t="s">
        <v>16</v>
      </c>
      <c r="L22" s="1" t="str">
        <f t="shared" si="10"/>
        <v>part005.CATDrawing</v>
      </c>
      <c r="M22" t="str">
        <f>CONCATENATE(E22,".CATPart")</f>
        <v>part005.CATPart</v>
      </c>
      <c r="O22" s="1" t="str">
        <f t="shared" si="4"/>
        <v>&lt;Component C_Type=" Drawing " C_CODE=" A010 " C_REV=" A " C_Data=" 01_01_1970 " C_STATUS=" Active " C_Designer=" Bartola " C_TwoD=" part005.CATDrawing " C_Three_D=" part005.CATPart " &gt; part005.CATDrawing &lt;/Component&gt;</v>
      </c>
      <c r="P22" s="1" t="str">
        <f t="shared" si="5"/>
        <v>&lt;/Family&gt; &lt;Family Family_Name="Family_02" PRJ_Name="PRJ_05" PROD_Name="Prod_04" &gt;</v>
      </c>
      <c r="Q22" s="3" t="str">
        <f t="shared" si="6"/>
        <v>&lt;Component C_Type=" Drawing " C_CODE=" A010 " C_REV=" A " C_Data=" 01_01_1970 " C_STATUS=" Active " C_Designer=" Bartola " C_TwoD=" part005.CATDrawing " C_Three_D=" part005.CATPart " &gt; part005.CATDrawing &lt;/Component&gt;</v>
      </c>
    </row>
    <row r="23" spans="1:17" x14ac:dyDescent="0.25">
      <c r="A23" t="s">
        <v>33</v>
      </c>
      <c r="B23" t="s">
        <v>44</v>
      </c>
      <c r="C23" t="s">
        <v>45</v>
      </c>
      <c r="D23" t="s">
        <v>39</v>
      </c>
      <c r="E23" t="str">
        <f t="shared" si="7"/>
        <v>part005</v>
      </c>
      <c r="F23" t="s">
        <v>6</v>
      </c>
      <c r="G23" t="s">
        <v>55</v>
      </c>
      <c r="H23" t="s">
        <v>17</v>
      </c>
      <c r="I23" t="s">
        <v>20</v>
      </c>
      <c r="J23" t="s">
        <v>15</v>
      </c>
      <c r="K23" t="s">
        <v>16</v>
      </c>
      <c r="L23" s="1" t="str">
        <f>CONCATENATE(E23,".CATDrawing")</f>
        <v>part005.CATDrawing</v>
      </c>
      <c r="M23" t="str">
        <f>D23</f>
        <v>part005.CATPart</v>
      </c>
      <c r="O23" s="1" t="str">
        <f t="shared" si="4"/>
        <v>&lt;Component C_Type=" Part " C_CODE=" A010 " C_REV=" A " C_Data=" 01_01_1970 " C_STATUS=" Active " C_Designer=" Bartola " C_TwoD=" part005.CATDrawing " C_Three_D=" part005.CATPart " &gt; part005.CATPart &lt;/Component&gt;</v>
      </c>
      <c r="P23" s="1" t="str">
        <f t="shared" si="5"/>
        <v>&lt;/Family&gt; &lt;Family Family_Name="Family_02" PRJ_Name="PRJ_05" PROD_Name="Prod_04" &gt;</v>
      </c>
      <c r="Q23" s="3" t="str">
        <f t="shared" si="6"/>
        <v>&lt;Component C_Type=" Part " C_CODE=" A010 " C_REV=" A " C_Data=" 01_01_1970 " C_STATUS=" Active " C_Designer=" Bartola " C_TwoD=" part005.CATDrawing " C_Three_D=" part005.CATPart " &gt; part005.CATPart &lt;/Component&gt;</v>
      </c>
    </row>
    <row r="24" spans="1:17" x14ac:dyDescent="0.25">
      <c r="A24" t="s">
        <v>33</v>
      </c>
      <c r="B24" t="s">
        <v>44</v>
      </c>
      <c r="C24" t="s">
        <v>45</v>
      </c>
      <c r="D24" t="s">
        <v>40</v>
      </c>
      <c r="E24" t="str">
        <f t="shared" si="7"/>
        <v>part006</v>
      </c>
      <c r="F24" t="s">
        <v>7</v>
      </c>
      <c r="G24" t="s">
        <v>56</v>
      </c>
      <c r="H24" t="s">
        <v>17</v>
      </c>
      <c r="I24" t="s">
        <v>20</v>
      </c>
      <c r="J24" t="s">
        <v>15</v>
      </c>
      <c r="K24" t="s">
        <v>16</v>
      </c>
      <c r="L24" s="1" t="str">
        <f>D24</f>
        <v>part006.CATDrawing</v>
      </c>
      <c r="M24" t="str">
        <f>CONCATENATE(E24,".CATPart")</f>
        <v>part006.CATPart</v>
      </c>
      <c r="O24" s="1" t="str">
        <f t="shared" si="4"/>
        <v>&lt;Component C_Type=" Drawing " C_CODE=" A011 " C_REV=" A " C_Data=" 01_01_1970 " C_STATUS=" Active " C_Designer=" Bartola " C_TwoD=" part006.CATDrawing " C_Three_D=" part006.CATPart " &gt; part006.CATDrawing &lt;/Component&gt;</v>
      </c>
      <c r="P24" s="1" t="str">
        <f t="shared" si="5"/>
        <v>&lt;/Family&gt; &lt;Family Family_Name="Family_02" PRJ_Name="PRJ_05" PROD_Name="Prod_04" &gt;</v>
      </c>
      <c r="Q24" s="3" t="str">
        <f t="shared" si="6"/>
        <v>&lt;Component C_Type=" Drawing " C_CODE=" A011 " C_REV=" A " C_Data=" 01_01_1970 " C_STATUS=" Active " C_Designer=" Bartola " C_TwoD=" part006.CATDrawing " C_Three_D=" part006.CATPart " &gt; part006.CATDrawing &lt;/Component&gt;</v>
      </c>
    </row>
    <row r="25" spans="1:17" x14ac:dyDescent="0.25">
      <c r="A25" t="s">
        <v>33</v>
      </c>
      <c r="B25" t="s">
        <v>44</v>
      </c>
      <c r="C25" t="s">
        <v>45</v>
      </c>
      <c r="D25" t="s">
        <v>41</v>
      </c>
      <c r="E25" t="str">
        <f t="shared" si="7"/>
        <v>part006</v>
      </c>
      <c r="F25" t="s">
        <v>6</v>
      </c>
      <c r="G25" t="s">
        <v>56</v>
      </c>
      <c r="H25" t="s">
        <v>17</v>
      </c>
      <c r="I25" t="s">
        <v>20</v>
      </c>
      <c r="J25" t="s">
        <v>15</v>
      </c>
      <c r="K25" t="s">
        <v>16</v>
      </c>
      <c r="L25" s="1" t="str">
        <f>CONCATENATE(E25,".CATDrawing")</f>
        <v>part006.CATDrawing</v>
      </c>
      <c r="M25" t="str">
        <f>D25</f>
        <v>part006.CATPart</v>
      </c>
      <c r="O25" s="1" t="str">
        <f t="shared" si="4"/>
        <v>&lt;Component C_Type=" Part " C_CODE=" A011 " C_REV=" A " C_Data=" 01_01_1970 " C_STATUS=" Active " C_Designer=" Bartola " C_TwoD=" part006.CATDrawing " C_Three_D=" part006.CATPart " &gt; part006.CATPart &lt;/Component&gt;</v>
      </c>
      <c r="P25" s="1" t="str">
        <f t="shared" si="5"/>
        <v>&lt;/Family&gt; &lt;Family Family_Name="Family_02" PRJ_Name="PRJ_05" PROD_Name="Prod_04" &gt;</v>
      </c>
      <c r="Q25" s="3" t="str">
        <f t="shared" si="6"/>
        <v>&lt;Component C_Type=" Part " C_CODE=" A011 " C_REV=" A " C_Data=" 01_01_1970 " C_STATUS=" Active " C_Designer=" Bartola " C_TwoD=" part006.CATDrawing " C_Three_D=" part006.CATPart " &gt; part006.CATPart &lt;/Component&gt;</v>
      </c>
    </row>
    <row r="26" spans="1:17" x14ac:dyDescent="0.25">
      <c r="A26" t="s">
        <v>33</v>
      </c>
      <c r="B26" t="s">
        <v>44</v>
      </c>
      <c r="C26" t="s">
        <v>45</v>
      </c>
      <c r="D26" t="s">
        <v>29</v>
      </c>
      <c r="E26" t="str">
        <f t="shared" si="7"/>
        <v>part003</v>
      </c>
      <c r="F26" t="s">
        <v>7</v>
      </c>
      <c r="G26" t="s">
        <v>57</v>
      </c>
      <c r="H26" t="s">
        <v>17</v>
      </c>
      <c r="I26" t="s">
        <v>20</v>
      </c>
      <c r="J26" t="s">
        <v>15</v>
      </c>
      <c r="K26" t="s">
        <v>16</v>
      </c>
      <c r="L26" s="1" t="str">
        <f>D26</f>
        <v>part003.CATDrawing</v>
      </c>
      <c r="M26" t="str">
        <f>CONCATENATE(E26,".CATPart")</f>
        <v>part003.CATPart</v>
      </c>
      <c r="O26" s="1" t="str">
        <f t="shared" si="4"/>
        <v>&lt;Component C_Type=" Drawing " C_CODE=" A012 " C_REV=" A " C_Data=" 01_01_1970 " C_STATUS=" Active " C_Designer=" Bartola " C_TwoD=" part003.CATDrawing " C_Three_D=" part003.CATPart " &gt; part003.CATDrawing &lt;/Component&gt;</v>
      </c>
      <c r="P26" s="1" t="str">
        <f t="shared" si="5"/>
        <v>&lt;/Family&gt; &lt;Family Family_Name="Family_02" PRJ_Name="PRJ_05" PROD_Name="Prod_04" &gt;</v>
      </c>
      <c r="Q26" s="3" t="str">
        <f t="shared" si="6"/>
        <v>&lt;Component C_Type=" Drawing " C_CODE=" A012 " C_REV=" A " C_Data=" 01_01_1970 " C_STATUS=" Active " C_Designer=" Bartola " C_TwoD=" part003.CATDrawing " C_Three_D=" part003.CATPart " &gt; part003.CATDrawing &lt;/Component&gt;</v>
      </c>
    </row>
    <row r="27" spans="1:17" x14ac:dyDescent="0.25">
      <c r="A27" t="s">
        <v>33</v>
      </c>
      <c r="B27" t="s">
        <v>44</v>
      </c>
      <c r="C27" t="s">
        <v>45</v>
      </c>
      <c r="D27" t="s">
        <v>30</v>
      </c>
      <c r="E27" t="str">
        <f t="shared" si="7"/>
        <v>part003</v>
      </c>
      <c r="F27" t="s">
        <v>6</v>
      </c>
      <c r="G27" t="s">
        <v>57</v>
      </c>
      <c r="H27" t="s">
        <v>17</v>
      </c>
      <c r="I27" t="s">
        <v>20</v>
      </c>
      <c r="J27" t="s">
        <v>15</v>
      </c>
      <c r="K27" t="s">
        <v>16</v>
      </c>
      <c r="L27" s="1" t="str">
        <f>CONCATENATE(E27,".CATDrawing")</f>
        <v>part003.CATDrawing</v>
      </c>
      <c r="M27" t="str">
        <f>D27</f>
        <v>part003.CATPart</v>
      </c>
      <c r="O27" s="1" t="str">
        <f t="shared" si="4"/>
        <v>&lt;Component C_Type=" Part " C_CODE=" A012 " C_REV=" A " C_Data=" 01_01_1970 " C_STATUS=" Active " C_Designer=" Bartola " C_TwoD=" part003.CATDrawing " C_Three_D=" part003.CATPart " &gt; part003.CATPart &lt;/Component&gt;</v>
      </c>
      <c r="P27" s="1" t="str">
        <f t="shared" si="5"/>
        <v>&lt;/Family&gt; &lt;Family Family_Name="Family_02" PRJ_Name="PRJ_05" PROD_Name="Prod_04" &gt;</v>
      </c>
      <c r="Q27" s="3" t="str">
        <f t="shared" si="6"/>
        <v>&lt;Component C_Type=" Part " C_CODE=" A012 " C_REV=" A " C_Data=" 01_01_1970 " C_STATUS=" Active " C_Designer=" Bartola " C_TwoD=" part003.CATDrawing " C_Three_D=" part003.CATPart " &gt; part003.CATPart &lt;/Component&gt;</v>
      </c>
    </row>
    <row r="28" spans="1:17" x14ac:dyDescent="0.25">
      <c r="A28" t="s">
        <v>33</v>
      </c>
      <c r="B28" t="s">
        <v>44</v>
      </c>
      <c r="C28" t="s">
        <v>45</v>
      </c>
      <c r="D28" t="s">
        <v>31</v>
      </c>
      <c r="E28" t="str">
        <f t="shared" si="7"/>
        <v>part004</v>
      </c>
      <c r="F28" t="s">
        <v>7</v>
      </c>
      <c r="G28" t="s">
        <v>58</v>
      </c>
      <c r="H28" t="s">
        <v>17</v>
      </c>
      <c r="I28" t="s">
        <v>20</v>
      </c>
      <c r="J28" t="s">
        <v>15</v>
      </c>
      <c r="K28" t="s">
        <v>16</v>
      </c>
      <c r="L28" s="1" t="str">
        <f>D28</f>
        <v>part004.CATDrawing</v>
      </c>
      <c r="M28" t="str">
        <f>CONCATENATE(E28,".CATPart")</f>
        <v>part004.CATPart</v>
      </c>
      <c r="O28" s="1" t="str">
        <f t="shared" si="4"/>
        <v>&lt;Component C_Type=" Drawing " C_CODE=" A013 " C_REV=" A " C_Data=" 01_01_1970 " C_STATUS=" Active " C_Designer=" Bartola " C_TwoD=" part004.CATDrawing " C_Three_D=" part004.CATPart " &gt; part004.CATDrawing &lt;/Component&gt;</v>
      </c>
      <c r="P28" s="1" t="str">
        <f t="shared" si="5"/>
        <v>&lt;/Family&gt; &lt;Family Family_Name="Family_02" PRJ_Name="PRJ_05" PROD_Name="Prod_04" &gt;</v>
      </c>
      <c r="Q28" s="3" t="str">
        <f t="shared" si="6"/>
        <v>&lt;Component C_Type=" Drawing " C_CODE=" A013 " C_REV=" A " C_Data=" 01_01_1970 " C_STATUS=" Active " C_Designer=" Bartola " C_TwoD=" part004.CATDrawing " C_Three_D=" part004.CATPart " &gt; part004.CATDrawing &lt;/Component&gt;</v>
      </c>
    </row>
    <row r="29" spans="1:17" x14ac:dyDescent="0.25">
      <c r="A29" t="s">
        <v>33</v>
      </c>
      <c r="B29" t="s">
        <v>44</v>
      </c>
      <c r="C29" t="s">
        <v>45</v>
      </c>
      <c r="D29" t="s">
        <v>32</v>
      </c>
      <c r="E29" t="str">
        <f t="shared" si="7"/>
        <v>part004</v>
      </c>
      <c r="F29" t="s">
        <v>6</v>
      </c>
      <c r="G29" t="s">
        <v>58</v>
      </c>
      <c r="H29" t="s">
        <v>17</v>
      </c>
      <c r="I29" t="s">
        <v>20</v>
      </c>
      <c r="J29" t="s">
        <v>15</v>
      </c>
      <c r="K29" t="s">
        <v>16</v>
      </c>
      <c r="L29" s="1" t="str">
        <f>CONCATENATE(E29,".CATDrawing")</f>
        <v>part004.CATDrawing</v>
      </c>
      <c r="M29" t="str">
        <f>D29</f>
        <v>part004.CATPart</v>
      </c>
      <c r="O29" s="1" t="str">
        <f t="shared" si="4"/>
        <v>&lt;Component C_Type=" Part " C_CODE=" A013 " C_REV=" A " C_Data=" 01_01_1970 " C_STATUS=" Active " C_Designer=" Bartola " C_TwoD=" part004.CATDrawing " C_Three_D=" part004.CATPart " &gt; part004.CATPart &lt;/Component&gt;</v>
      </c>
      <c r="P29" s="1" t="str">
        <f t="shared" si="5"/>
        <v>&lt;/Family&gt; &lt;Family Family_Name="Family_02" PRJ_Name="PRJ_05" PROD_Name="Prod_04" &gt;</v>
      </c>
      <c r="Q29" s="3" t="str">
        <f t="shared" si="6"/>
        <v>&lt;Component C_Type=" Part " C_CODE=" A013 " C_REV=" A " C_Data=" 01_01_1970 " C_STATUS=" Active " C_Designer=" Bartola " C_TwoD=" part004.CATDrawing " C_Three_D=" part004.CATPart " &gt; part004.CATPart &lt;/Component&gt;</v>
      </c>
    </row>
    <row r="30" spans="1:17" s="2" customFormat="1" x14ac:dyDescent="0.25">
      <c r="O30" s="1" t="str">
        <f t="shared" si="4"/>
        <v>&lt;Component C_Type="  " C_CODE="  " C_REV="  " C_Data="  " C_STATUS="  " C_Designer="  " C_TwoD="  " C_Three_D="  " &gt;  &lt;/Component&gt;</v>
      </c>
      <c r="P30" s="1" t="str">
        <f t="shared" si="5"/>
        <v>&lt;/Family&gt;&lt;/PDM&gt;</v>
      </c>
      <c r="Q30" s="3" t="str">
        <f t="shared" si="6"/>
        <v>&lt;/Family&gt;&lt;/PDM&gt;</v>
      </c>
    </row>
    <row r="37" spans="13:13" x14ac:dyDescent="0.25">
      <c r="M37" s="1"/>
    </row>
  </sheetData>
  <autoFilter ref="A1:M29"/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sportaXLM">
                <anchor moveWithCells="1">
                  <from>
                    <xdr:col>16</xdr:col>
                    <xdr:colOff>28575</xdr:colOff>
                    <xdr:row>0</xdr:row>
                    <xdr:rowOff>0</xdr:rowOff>
                  </from>
                  <to>
                    <xdr:col>17</xdr:col>
                    <xdr:colOff>561975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toexport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Roberto Bartola</cp:lastModifiedBy>
  <dcterms:created xsi:type="dcterms:W3CDTF">2012-06-12T18:34:12Z</dcterms:created>
  <dcterms:modified xsi:type="dcterms:W3CDTF">2015-08-24T07:43:25Z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